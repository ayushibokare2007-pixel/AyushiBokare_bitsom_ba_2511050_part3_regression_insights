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8_{0B61A95B-165C-4B73-A1CC-9497043AAB70}" xr6:coauthVersionLast="47" xr6:coauthVersionMax="47" xr10:uidLastSave="{00000000-0000-0000-0000-000000000000}"/>
  <bookViews>
    <workbookView xWindow="-103" yWindow="-103" windowWidth="16663" windowHeight="8743" firstSheet="5" activeTab="7" xr2:uid="{09FCA87E-953C-4CEE-9165-BC26A0BE318E}"/>
  </bookViews>
  <sheets>
    <sheet name="Orignal_data" sheetId="1" r:id="rId1"/>
    <sheet name="cleaned_data" sheetId="2" r:id="rId2"/>
    <sheet name="Dummy_variables" sheetId="3" r:id="rId3"/>
    <sheet name="Simple_Regression_1" sheetId="7" r:id="rId4"/>
    <sheet name="Simple_Regression_2" sheetId="8" r:id="rId5"/>
    <sheet name="Multiple_regression" sheetId="9" r:id="rId6"/>
    <sheet name="Prediction_Residuals" sheetId="10" r:id="rId7"/>
    <sheet name="Model_comparison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0" l="1"/>
  <c r="T4" i="10"/>
  <c r="T5" i="10"/>
  <c r="T6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107" i="10"/>
  <c r="T108" i="10"/>
  <c r="T109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28" i="10"/>
  <c r="T129" i="10"/>
  <c r="T130" i="10"/>
  <c r="T131" i="10"/>
  <c r="T132" i="10"/>
  <c r="T133" i="10"/>
  <c r="T134" i="10"/>
  <c r="T135" i="10"/>
  <c r="T136" i="10"/>
  <c r="T137" i="10"/>
  <c r="T138" i="10"/>
  <c r="T139" i="10"/>
  <c r="T140" i="10"/>
  <c r="T141" i="10"/>
  <c r="T142" i="10"/>
  <c r="T143" i="10"/>
  <c r="T144" i="10"/>
  <c r="T145" i="10"/>
  <c r="T146" i="10"/>
  <c r="T147" i="10"/>
  <c r="T148" i="10"/>
  <c r="T149" i="10"/>
  <c r="T150" i="10"/>
  <c r="T151" i="10"/>
  <c r="T152" i="10"/>
  <c r="T153" i="10"/>
  <c r="T154" i="10"/>
  <c r="T155" i="10"/>
  <c r="T156" i="10"/>
  <c r="T157" i="10"/>
  <c r="T158" i="10"/>
  <c r="T159" i="10"/>
  <c r="T160" i="10"/>
  <c r="T161" i="10"/>
  <c r="T162" i="10"/>
  <c r="T163" i="10"/>
  <c r="T164" i="10"/>
  <c r="T165" i="10"/>
  <c r="T166" i="10"/>
  <c r="T167" i="10"/>
  <c r="T168" i="10"/>
  <c r="T169" i="10"/>
  <c r="T170" i="10"/>
  <c r="T171" i="10"/>
  <c r="T172" i="10"/>
  <c r="T173" i="10"/>
  <c r="T174" i="10"/>
  <c r="T175" i="10"/>
  <c r="T176" i="10"/>
  <c r="T177" i="10"/>
  <c r="T178" i="10"/>
  <c r="T179" i="10"/>
  <c r="T180" i="10"/>
  <c r="T181" i="10"/>
  <c r="T182" i="10"/>
  <c r="T183" i="10"/>
  <c r="T184" i="10"/>
  <c r="T185" i="10"/>
  <c r="T186" i="10"/>
  <c r="T187" i="10"/>
  <c r="T188" i="10"/>
  <c r="T189" i="10"/>
  <c r="T190" i="10"/>
  <c r="T191" i="10"/>
  <c r="T192" i="10"/>
  <c r="T193" i="10"/>
  <c r="T194" i="10"/>
  <c r="T195" i="10"/>
  <c r="T196" i="10"/>
  <c r="T197" i="10"/>
  <c r="T198" i="10"/>
  <c r="T199" i="10"/>
  <c r="T200" i="10"/>
  <c r="T201" i="10"/>
  <c r="T202" i="10"/>
  <c r="T203" i="10"/>
  <c r="T204" i="10"/>
  <c r="T205" i="10"/>
  <c r="T206" i="10"/>
  <c r="T207" i="10"/>
  <c r="T208" i="10"/>
  <c r="T209" i="10"/>
  <c r="T210" i="10"/>
  <c r="T211" i="10"/>
  <c r="T212" i="10"/>
  <c r="T213" i="10"/>
  <c r="T214" i="10"/>
  <c r="T215" i="10"/>
  <c r="T216" i="10"/>
  <c r="T217" i="10"/>
  <c r="T218" i="10"/>
  <c r="T219" i="10"/>
  <c r="T220" i="10"/>
  <c r="T221" i="10"/>
  <c r="T222" i="10"/>
  <c r="T223" i="10"/>
  <c r="T224" i="10"/>
  <c r="T225" i="10"/>
  <c r="T226" i="10"/>
  <c r="T227" i="10"/>
  <c r="T228" i="10"/>
  <c r="T229" i="10"/>
  <c r="T230" i="10"/>
  <c r="T231" i="10"/>
  <c r="T232" i="10"/>
  <c r="T233" i="10"/>
  <c r="T234" i="10"/>
  <c r="T235" i="10"/>
  <c r="T236" i="10"/>
  <c r="T237" i="10"/>
  <c r="T238" i="10"/>
  <c r="T239" i="10"/>
  <c r="T240" i="10"/>
  <c r="T241" i="10"/>
  <c r="T242" i="10"/>
  <c r="T243" i="10"/>
  <c r="T244" i="10"/>
  <c r="T245" i="10"/>
  <c r="T246" i="10"/>
  <c r="T247" i="10"/>
  <c r="T248" i="10"/>
  <c r="T249" i="10"/>
  <c r="T250" i="10"/>
  <c r="T251" i="10"/>
  <c r="T252" i="10"/>
  <c r="T253" i="10"/>
  <c r="T254" i="10"/>
  <c r="T255" i="10"/>
  <c r="T256" i="10"/>
  <c r="T257" i="10"/>
  <c r="T258" i="10"/>
  <c r="T259" i="10"/>
  <c r="T260" i="10"/>
  <c r="T261" i="10"/>
  <c r="T262" i="10"/>
  <c r="T263" i="10"/>
  <c r="T264" i="10"/>
  <c r="T265" i="10"/>
  <c r="T266" i="10"/>
  <c r="T267" i="10"/>
  <c r="T268" i="10"/>
  <c r="T269" i="10"/>
  <c r="T270" i="10"/>
  <c r="T271" i="10"/>
  <c r="T272" i="10"/>
  <c r="T273" i="10"/>
  <c r="T274" i="10"/>
  <c r="T275" i="10"/>
  <c r="T276" i="10"/>
  <c r="T277" i="10"/>
  <c r="T278" i="10"/>
  <c r="T279" i="10"/>
  <c r="T280" i="10"/>
  <c r="T281" i="10"/>
  <c r="T282" i="10"/>
  <c r="T283" i="10"/>
  <c r="T284" i="10"/>
  <c r="T285" i="10"/>
  <c r="T286" i="10"/>
  <c r="T287" i="10"/>
  <c r="T288" i="10"/>
  <c r="T289" i="10"/>
  <c r="T290" i="10"/>
  <c r="T291" i="10"/>
  <c r="T292" i="10"/>
  <c r="T293" i="10"/>
  <c r="T294" i="10"/>
  <c r="T295" i="10"/>
  <c r="T296" i="10"/>
  <c r="T297" i="10"/>
  <c r="T298" i="10"/>
  <c r="T299" i="10"/>
  <c r="T300" i="10"/>
  <c r="T301" i="10"/>
  <c r="T302" i="10"/>
  <c r="T303" i="10"/>
  <c r="T304" i="10"/>
  <c r="T305" i="10"/>
  <c r="T306" i="10"/>
  <c r="T307" i="10"/>
  <c r="T308" i="10"/>
  <c r="T309" i="10"/>
  <c r="T310" i="10"/>
  <c r="T311" i="10"/>
  <c r="T312" i="10"/>
  <c r="T313" i="10"/>
  <c r="T314" i="10"/>
  <c r="T315" i="10"/>
  <c r="T316" i="10"/>
  <c r="T317" i="10"/>
  <c r="T318" i="10"/>
  <c r="T319" i="10"/>
  <c r="T320" i="10"/>
  <c r="T321" i="10"/>
  <c r="T2" i="10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S131" i="10"/>
  <c r="S132" i="10"/>
  <c r="S133" i="10"/>
  <c r="S134" i="10"/>
  <c r="S135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S148" i="10"/>
  <c r="S149" i="10"/>
  <c r="S150" i="10"/>
  <c r="S151" i="10"/>
  <c r="S152" i="10"/>
  <c r="S153" i="10"/>
  <c r="S154" i="10"/>
  <c r="S155" i="10"/>
  <c r="S156" i="10"/>
  <c r="S157" i="10"/>
  <c r="S158" i="10"/>
  <c r="S159" i="10"/>
  <c r="S160" i="10"/>
  <c r="S161" i="10"/>
  <c r="S162" i="10"/>
  <c r="S163" i="10"/>
  <c r="S164" i="10"/>
  <c r="S165" i="10"/>
  <c r="S166" i="10"/>
  <c r="S167" i="10"/>
  <c r="S168" i="10"/>
  <c r="S169" i="10"/>
  <c r="S170" i="10"/>
  <c r="S171" i="10"/>
  <c r="S172" i="10"/>
  <c r="S173" i="10"/>
  <c r="S174" i="10"/>
  <c r="S175" i="10"/>
  <c r="S176" i="10"/>
  <c r="S177" i="10"/>
  <c r="S178" i="10"/>
  <c r="S179" i="10"/>
  <c r="S180" i="10"/>
  <c r="S181" i="10"/>
  <c r="S182" i="10"/>
  <c r="S183" i="10"/>
  <c r="S184" i="10"/>
  <c r="S185" i="10"/>
  <c r="S186" i="10"/>
  <c r="S187" i="10"/>
  <c r="S188" i="10"/>
  <c r="S189" i="10"/>
  <c r="S190" i="10"/>
  <c r="S191" i="10"/>
  <c r="S192" i="10"/>
  <c r="S193" i="10"/>
  <c r="S194" i="10"/>
  <c r="S195" i="10"/>
  <c r="S196" i="10"/>
  <c r="S197" i="10"/>
  <c r="S198" i="10"/>
  <c r="S199" i="10"/>
  <c r="S200" i="10"/>
  <c r="S201" i="10"/>
  <c r="S202" i="10"/>
  <c r="S203" i="10"/>
  <c r="S204" i="10"/>
  <c r="S205" i="10"/>
  <c r="S206" i="10"/>
  <c r="S207" i="10"/>
  <c r="S208" i="10"/>
  <c r="S209" i="10"/>
  <c r="S210" i="10"/>
  <c r="S211" i="10"/>
  <c r="S212" i="10"/>
  <c r="S213" i="10"/>
  <c r="S214" i="10"/>
  <c r="S215" i="10"/>
  <c r="S216" i="10"/>
  <c r="S217" i="10"/>
  <c r="S218" i="10"/>
  <c r="S219" i="10"/>
  <c r="S220" i="10"/>
  <c r="S221" i="10"/>
  <c r="S222" i="10"/>
  <c r="S223" i="10"/>
  <c r="S224" i="10"/>
  <c r="S225" i="10"/>
  <c r="S226" i="10"/>
  <c r="S227" i="10"/>
  <c r="S228" i="10"/>
  <c r="S229" i="10"/>
  <c r="S230" i="10"/>
  <c r="S231" i="10"/>
  <c r="S232" i="10"/>
  <c r="S233" i="10"/>
  <c r="S234" i="10"/>
  <c r="S235" i="10"/>
  <c r="S236" i="10"/>
  <c r="S237" i="10"/>
  <c r="S238" i="10"/>
  <c r="S239" i="10"/>
  <c r="S240" i="10"/>
  <c r="S241" i="10"/>
  <c r="S242" i="10"/>
  <c r="S243" i="10"/>
  <c r="S244" i="10"/>
  <c r="S245" i="10"/>
  <c r="S246" i="10"/>
  <c r="S247" i="10"/>
  <c r="S248" i="10"/>
  <c r="S249" i="10"/>
  <c r="S250" i="10"/>
  <c r="S251" i="10"/>
  <c r="S252" i="10"/>
  <c r="S253" i="10"/>
  <c r="S254" i="10"/>
  <c r="S255" i="10"/>
  <c r="S256" i="10"/>
  <c r="S257" i="10"/>
  <c r="S258" i="10"/>
  <c r="S259" i="10"/>
  <c r="S260" i="10"/>
  <c r="S261" i="10"/>
  <c r="S262" i="10"/>
  <c r="S263" i="10"/>
  <c r="S264" i="10"/>
  <c r="S265" i="10"/>
  <c r="S266" i="10"/>
  <c r="S267" i="10"/>
  <c r="S268" i="10"/>
  <c r="S269" i="10"/>
  <c r="S270" i="10"/>
  <c r="S271" i="10"/>
  <c r="S272" i="10"/>
  <c r="S273" i="10"/>
  <c r="S274" i="10"/>
  <c r="S275" i="10"/>
  <c r="S276" i="10"/>
  <c r="S277" i="10"/>
  <c r="S278" i="10"/>
  <c r="S279" i="10"/>
  <c r="S280" i="10"/>
  <c r="S281" i="10"/>
  <c r="S282" i="10"/>
  <c r="S283" i="10"/>
  <c r="S284" i="10"/>
  <c r="S285" i="10"/>
  <c r="S286" i="10"/>
  <c r="S287" i="10"/>
  <c r="S288" i="10"/>
  <c r="S289" i="10"/>
  <c r="S290" i="10"/>
  <c r="S291" i="10"/>
  <c r="S292" i="10"/>
  <c r="S293" i="10"/>
  <c r="S294" i="10"/>
  <c r="S295" i="10"/>
  <c r="S296" i="10"/>
  <c r="S297" i="10"/>
  <c r="S298" i="10"/>
  <c r="S299" i="10"/>
  <c r="S300" i="10"/>
  <c r="S301" i="10"/>
  <c r="S302" i="10"/>
  <c r="S303" i="10"/>
  <c r="S304" i="10"/>
  <c r="S305" i="10"/>
  <c r="S306" i="10"/>
  <c r="S307" i="10"/>
  <c r="S308" i="10"/>
  <c r="S309" i="10"/>
  <c r="S310" i="10"/>
  <c r="S311" i="10"/>
  <c r="S312" i="10"/>
  <c r="S313" i="10"/>
  <c r="S314" i="10"/>
  <c r="S315" i="10"/>
  <c r="S316" i="10"/>
  <c r="S317" i="10"/>
  <c r="S318" i="10"/>
  <c r="S319" i="10"/>
  <c r="S320" i="10"/>
  <c r="S321" i="10"/>
  <c r="S3" i="10"/>
  <c r="S2" i="10"/>
  <c r="Q321" i="10"/>
  <c r="P321" i="10"/>
  <c r="O321" i="10"/>
  <c r="Q320" i="10"/>
  <c r="P320" i="10"/>
  <c r="O320" i="10"/>
  <c r="Q319" i="10"/>
  <c r="P319" i="10"/>
  <c r="O319" i="10"/>
  <c r="Q318" i="10"/>
  <c r="P318" i="10"/>
  <c r="O318" i="10"/>
  <c r="Q317" i="10"/>
  <c r="P317" i="10"/>
  <c r="O317" i="10"/>
  <c r="Q316" i="10"/>
  <c r="P316" i="10"/>
  <c r="O316" i="10"/>
  <c r="Q315" i="10"/>
  <c r="P315" i="10"/>
  <c r="O315" i="10"/>
  <c r="Q314" i="10"/>
  <c r="P314" i="10"/>
  <c r="O314" i="10"/>
  <c r="Q313" i="10"/>
  <c r="P313" i="10"/>
  <c r="O313" i="10"/>
  <c r="Q312" i="10"/>
  <c r="P312" i="10"/>
  <c r="O312" i="10"/>
  <c r="Q311" i="10"/>
  <c r="P311" i="10"/>
  <c r="O311" i="10"/>
  <c r="Q310" i="10"/>
  <c r="P310" i="10"/>
  <c r="O310" i="10"/>
  <c r="Q309" i="10"/>
  <c r="P309" i="10"/>
  <c r="O309" i="10"/>
  <c r="Q308" i="10"/>
  <c r="P308" i="10"/>
  <c r="O308" i="10"/>
  <c r="Q307" i="10"/>
  <c r="P307" i="10"/>
  <c r="O307" i="10"/>
  <c r="Q306" i="10"/>
  <c r="P306" i="10"/>
  <c r="O306" i="10"/>
  <c r="Q305" i="10"/>
  <c r="P305" i="10"/>
  <c r="O305" i="10"/>
  <c r="Q304" i="10"/>
  <c r="P304" i="10"/>
  <c r="O304" i="10"/>
  <c r="Q303" i="10"/>
  <c r="P303" i="10"/>
  <c r="O303" i="10"/>
  <c r="Q302" i="10"/>
  <c r="P302" i="10"/>
  <c r="O302" i="10"/>
  <c r="Q301" i="10"/>
  <c r="P301" i="10"/>
  <c r="O301" i="10"/>
  <c r="Q300" i="10"/>
  <c r="P300" i="10"/>
  <c r="O300" i="10"/>
  <c r="Q299" i="10"/>
  <c r="P299" i="10"/>
  <c r="O299" i="10"/>
  <c r="Q298" i="10"/>
  <c r="P298" i="10"/>
  <c r="O298" i="10"/>
  <c r="Q297" i="10"/>
  <c r="P297" i="10"/>
  <c r="O297" i="10"/>
  <c r="Q296" i="10"/>
  <c r="P296" i="10"/>
  <c r="O296" i="10"/>
  <c r="Q295" i="10"/>
  <c r="P295" i="10"/>
  <c r="O295" i="10"/>
  <c r="Q294" i="10"/>
  <c r="P294" i="10"/>
  <c r="O294" i="10"/>
  <c r="Q293" i="10"/>
  <c r="P293" i="10"/>
  <c r="O293" i="10"/>
  <c r="Q292" i="10"/>
  <c r="P292" i="10"/>
  <c r="O292" i="10"/>
  <c r="Q291" i="10"/>
  <c r="P291" i="10"/>
  <c r="O291" i="10"/>
  <c r="Q290" i="10"/>
  <c r="P290" i="10"/>
  <c r="O290" i="10"/>
  <c r="Q289" i="10"/>
  <c r="P289" i="10"/>
  <c r="O289" i="10"/>
  <c r="Q288" i="10"/>
  <c r="P288" i="10"/>
  <c r="O288" i="10"/>
  <c r="Q287" i="10"/>
  <c r="P287" i="10"/>
  <c r="O287" i="10"/>
  <c r="Q286" i="10"/>
  <c r="P286" i="10"/>
  <c r="O286" i="10"/>
  <c r="Q285" i="10"/>
  <c r="P285" i="10"/>
  <c r="O285" i="10"/>
  <c r="Q284" i="10"/>
  <c r="P284" i="10"/>
  <c r="O284" i="10"/>
  <c r="Q283" i="10"/>
  <c r="P283" i="10"/>
  <c r="O283" i="10"/>
  <c r="Q282" i="10"/>
  <c r="P282" i="10"/>
  <c r="O282" i="10"/>
  <c r="Q281" i="10"/>
  <c r="P281" i="10"/>
  <c r="O281" i="10"/>
  <c r="Q280" i="10"/>
  <c r="P280" i="10"/>
  <c r="O280" i="10"/>
  <c r="Q279" i="10"/>
  <c r="P279" i="10"/>
  <c r="O279" i="10"/>
  <c r="Q278" i="10"/>
  <c r="P278" i="10"/>
  <c r="O278" i="10"/>
  <c r="Q277" i="10"/>
  <c r="P277" i="10"/>
  <c r="O277" i="10"/>
  <c r="Q276" i="10"/>
  <c r="P276" i="10"/>
  <c r="O276" i="10"/>
  <c r="Q275" i="10"/>
  <c r="P275" i="10"/>
  <c r="O275" i="10"/>
  <c r="Q274" i="10"/>
  <c r="P274" i="10"/>
  <c r="O274" i="10"/>
  <c r="Q273" i="10"/>
  <c r="P273" i="10"/>
  <c r="O273" i="10"/>
  <c r="Q272" i="10"/>
  <c r="P272" i="10"/>
  <c r="O272" i="10"/>
  <c r="Q271" i="10"/>
  <c r="P271" i="10"/>
  <c r="O271" i="10"/>
  <c r="Q270" i="10"/>
  <c r="P270" i="10"/>
  <c r="O270" i="10"/>
  <c r="Q269" i="10"/>
  <c r="P269" i="10"/>
  <c r="O269" i="10"/>
  <c r="Q268" i="10"/>
  <c r="P268" i="10"/>
  <c r="O268" i="10"/>
  <c r="Q267" i="10"/>
  <c r="P267" i="10"/>
  <c r="O267" i="10"/>
  <c r="Q266" i="10"/>
  <c r="P266" i="10"/>
  <c r="O266" i="10"/>
  <c r="Q265" i="10"/>
  <c r="P265" i="10"/>
  <c r="O265" i="10"/>
  <c r="Q264" i="10"/>
  <c r="P264" i="10"/>
  <c r="O264" i="10"/>
  <c r="Q263" i="10"/>
  <c r="P263" i="10"/>
  <c r="O263" i="10"/>
  <c r="Q262" i="10"/>
  <c r="P262" i="10"/>
  <c r="O262" i="10"/>
  <c r="Q261" i="10"/>
  <c r="P261" i="10"/>
  <c r="O261" i="10"/>
  <c r="Q260" i="10"/>
  <c r="P260" i="10"/>
  <c r="O260" i="10"/>
  <c r="Q259" i="10"/>
  <c r="P259" i="10"/>
  <c r="O259" i="10"/>
  <c r="Q258" i="10"/>
  <c r="P258" i="10"/>
  <c r="O258" i="10"/>
  <c r="Q257" i="10"/>
  <c r="P257" i="10"/>
  <c r="O257" i="10"/>
  <c r="Q256" i="10"/>
  <c r="P256" i="10"/>
  <c r="O256" i="10"/>
  <c r="Q255" i="10"/>
  <c r="P255" i="10"/>
  <c r="O255" i="10"/>
  <c r="Q254" i="10"/>
  <c r="P254" i="10"/>
  <c r="O254" i="10"/>
  <c r="Q253" i="10"/>
  <c r="P253" i="10"/>
  <c r="O253" i="10"/>
  <c r="Q252" i="10"/>
  <c r="P252" i="10"/>
  <c r="O252" i="10"/>
  <c r="Q251" i="10"/>
  <c r="P251" i="10"/>
  <c r="O251" i="10"/>
  <c r="Q250" i="10"/>
  <c r="P250" i="10"/>
  <c r="O250" i="10"/>
  <c r="Q249" i="10"/>
  <c r="P249" i="10"/>
  <c r="O249" i="10"/>
  <c r="Q248" i="10"/>
  <c r="P248" i="10"/>
  <c r="O248" i="10"/>
  <c r="Q247" i="10"/>
  <c r="P247" i="10"/>
  <c r="O247" i="10"/>
  <c r="Q246" i="10"/>
  <c r="P246" i="10"/>
  <c r="O246" i="10"/>
  <c r="Q245" i="10"/>
  <c r="P245" i="10"/>
  <c r="O245" i="10"/>
  <c r="Q244" i="10"/>
  <c r="P244" i="10"/>
  <c r="O244" i="10"/>
  <c r="Q243" i="10"/>
  <c r="P243" i="10"/>
  <c r="O243" i="10"/>
  <c r="Q242" i="10"/>
  <c r="P242" i="10"/>
  <c r="O242" i="10"/>
  <c r="Q241" i="10"/>
  <c r="P241" i="10"/>
  <c r="O241" i="10"/>
  <c r="Q240" i="10"/>
  <c r="P240" i="10"/>
  <c r="O240" i="10"/>
  <c r="Q239" i="10"/>
  <c r="P239" i="10"/>
  <c r="O239" i="10"/>
  <c r="Q238" i="10"/>
  <c r="P238" i="10"/>
  <c r="O238" i="10"/>
  <c r="Q237" i="10"/>
  <c r="P237" i="10"/>
  <c r="O237" i="10"/>
  <c r="Q236" i="10"/>
  <c r="P236" i="10"/>
  <c r="O236" i="10"/>
  <c r="Q235" i="10"/>
  <c r="P235" i="10"/>
  <c r="O235" i="10"/>
  <c r="Q234" i="10"/>
  <c r="P234" i="10"/>
  <c r="O234" i="10"/>
  <c r="Q233" i="10"/>
  <c r="P233" i="10"/>
  <c r="O233" i="10"/>
  <c r="Q232" i="10"/>
  <c r="P232" i="10"/>
  <c r="O232" i="10"/>
  <c r="Q231" i="10"/>
  <c r="P231" i="10"/>
  <c r="O231" i="10"/>
  <c r="Q230" i="10"/>
  <c r="P230" i="10"/>
  <c r="O230" i="10"/>
  <c r="Q229" i="10"/>
  <c r="P229" i="10"/>
  <c r="O229" i="10"/>
  <c r="Q228" i="10"/>
  <c r="P228" i="10"/>
  <c r="O228" i="10"/>
  <c r="Q227" i="10"/>
  <c r="P227" i="10"/>
  <c r="O227" i="10"/>
  <c r="Q226" i="10"/>
  <c r="P226" i="10"/>
  <c r="O226" i="10"/>
  <c r="Q225" i="10"/>
  <c r="P225" i="10"/>
  <c r="O225" i="10"/>
  <c r="Q224" i="10"/>
  <c r="P224" i="10"/>
  <c r="O224" i="10"/>
  <c r="Q223" i="10"/>
  <c r="P223" i="10"/>
  <c r="O223" i="10"/>
  <c r="Q222" i="10"/>
  <c r="P222" i="10"/>
  <c r="O222" i="10"/>
  <c r="Q221" i="10"/>
  <c r="P221" i="10"/>
  <c r="O221" i="10"/>
  <c r="Q220" i="10"/>
  <c r="P220" i="10"/>
  <c r="O220" i="10"/>
  <c r="Q219" i="10"/>
  <c r="P219" i="10"/>
  <c r="O219" i="10"/>
  <c r="Q218" i="10"/>
  <c r="P218" i="10"/>
  <c r="O218" i="10"/>
  <c r="Q217" i="10"/>
  <c r="P217" i="10"/>
  <c r="O217" i="10"/>
  <c r="Q216" i="10"/>
  <c r="P216" i="10"/>
  <c r="O216" i="10"/>
  <c r="Q215" i="10"/>
  <c r="P215" i="10"/>
  <c r="O215" i="10"/>
  <c r="Q214" i="10"/>
  <c r="P214" i="10"/>
  <c r="O214" i="10"/>
  <c r="Q213" i="10"/>
  <c r="P213" i="10"/>
  <c r="O213" i="10"/>
  <c r="Q212" i="10"/>
  <c r="P212" i="10"/>
  <c r="O212" i="10"/>
  <c r="Q211" i="10"/>
  <c r="P211" i="10"/>
  <c r="O211" i="10"/>
  <c r="Q210" i="10"/>
  <c r="P210" i="10"/>
  <c r="O210" i="10"/>
  <c r="Q209" i="10"/>
  <c r="P209" i="10"/>
  <c r="O209" i="10"/>
  <c r="Q208" i="10"/>
  <c r="P208" i="10"/>
  <c r="O208" i="10"/>
  <c r="Q207" i="10"/>
  <c r="P207" i="10"/>
  <c r="O207" i="10"/>
  <c r="Q206" i="10"/>
  <c r="P206" i="10"/>
  <c r="O206" i="10"/>
  <c r="Q205" i="10"/>
  <c r="P205" i="10"/>
  <c r="O205" i="10"/>
  <c r="Q204" i="10"/>
  <c r="P204" i="10"/>
  <c r="O204" i="10"/>
  <c r="Q203" i="10"/>
  <c r="P203" i="10"/>
  <c r="O203" i="10"/>
  <c r="Q202" i="10"/>
  <c r="P202" i="10"/>
  <c r="O202" i="10"/>
  <c r="Q201" i="10"/>
  <c r="P201" i="10"/>
  <c r="O201" i="10"/>
  <c r="Q200" i="10"/>
  <c r="P200" i="10"/>
  <c r="O200" i="10"/>
  <c r="Q199" i="10"/>
  <c r="P199" i="10"/>
  <c r="O199" i="10"/>
  <c r="Q198" i="10"/>
  <c r="P198" i="10"/>
  <c r="O198" i="10"/>
  <c r="Q197" i="10"/>
  <c r="P197" i="10"/>
  <c r="O197" i="10"/>
  <c r="Q196" i="10"/>
  <c r="P196" i="10"/>
  <c r="O196" i="10"/>
  <c r="Q195" i="10"/>
  <c r="P195" i="10"/>
  <c r="O195" i="10"/>
  <c r="Q194" i="10"/>
  <c r="P194" i="10"/>
  <c r="O194" i="10"/>
  <c r="Q193" i="10"/>
  <c r="P193" i="10"/>
  <c r="O193" i="10"/>
  <c r="Q192" i="10"/>
  <c r="P192" i="10"/>
  <c r="O192" i="10"/>
  <c r="Q191" i="10"/>
  <c r="P191" i="10"/>
  <c r="O191" i="10"/>
  <c r="Q190" i="10"/>
  <c r="P190" i="10"/>
  <c r="O190" i="10"/>
  <c r="Q189" i="10"/>
  <c r="P189" i="10"/>
  <c r="O189" i="10"/>
  <c r="Q188" i="10"/>
  <c r="P188" i="10"/>
  <c r="O188" i="10"/>
  <c r="Q187" i="10"/>
  <c r="P187" i="10"/>
  <c r="O187" i="10"/>
  <c r="Q186" i="10"/>
  <c r="P186" i="10"/>
  <c r="O186" i="10"/>
  <c r="Q185" i="10"/>
  <c r="P185" i="10"/>
  <c r="O185" i="10"/>
  <c r="Q184" i="10"/>
  <c r="P184" i="10"/>
  <c r="O184" i="10"/>
  <c r="Q183" i="10"/>
  <c r="P183" i="10"/>
  <c r="O183" i="10"/>
  <c r="Q182" i="10"/>
  <c r="P182" i="10"/>
  <c r="O182" i="10"/>
  <c r="Q181" i="10"/>
  <c r="P181" i="10"/>
  <c r="O181" i="10"/>
  <c r="Q180" i="10"/>
  <c r="P180" i="10"/>
  <c r="O180" i="10"/>
  <c r="Q179" i="10"/>
  <c r="P179" i="10"/>
  <c r="O179" i="10"/>
  <c r="Q178" i="10"/>
  <c r="P178" i="10"/>
  <c r="O178" i="10"/>
  <c r="Q177" i="10"/>
  <c r="P177" i="10"/>
  <c r="O177" i="10"/>
  <c r="Q176" i="10"/>
  <c r="P176" i="10"/>
  <c r="O176" i="10"/>
  <c r="Q175" i="10"/>
  <c r="P175" i="10"/>
  <c r="O175" i="10"/>
  <c r="Q174" i="10"/>
  <c r="P174" i="10"/>
  <c r="O174" i="10"/>
  <c r="Q173" i="10"/>
  <c r="P173" i="10"/>
  <c r="O173" i="10"/>
  <c r="Q172" i="10"/>
  <c r="P172" i="10"/>
  <c r="O172" i="10"/>
  <c r="Q171" i="10"/>
  <c r="P171" i="10"/>
  <c r="O171" i="10"/>
  <c r="Q170" i="10"/>
  <c r="P170" i="10"/>
  <c r="O170" i="10"/>
  <c r="Q169" i="10"/>
  <c r="P169" i="10"/>
  <c r="O169" i="10"/>
  <c r="Q168" i="10"/>
  <c r="P168" i="10"/>
  <c r="O168" i="10"/>
  <c r="Q167" i="10"/>
  <c r="P167" i="10"/>
  <c r="O167" i="10"/>
  <c r="Q166" i="10"/>
  <c r="P166" i="10"/>
  <c r="O166" i="10"/>
  <c r="Q165" i="10"/>
  <c r="P165" i="10"/>
  <c r="O165" i="10"/>
  <c r="Q164" i="10"/>
  <c r="P164" i="10"/>
  <c r="O164" i="10"/>
  <c r="Q163" i="10"/>
  <c r="P163" i="10"/>
  <c r="O163" i="10"/>
  <c r="Q162" i="10"/>
  <c r="P162" i="10"/>
  <c r="O162" i="10"/>
  <c r="Q161" i="10"/>
  <c r="P161" i="10"/>
  <c r="O161" i="10"/>
  <c r="Q160" i="10"/>
  <c r="P160" i="10"/>
  <c r="O160" i="10"/>
  <c r="Q159" i="10"/>
  <c r="P159" i="10"/>
  <c r="O159" i="10"/>
  <c r="Q158" i="10"/>
  <c r="P158" i="10"/>
  <c r="O158" i="10"/>
  <c r="Q157" i="10"/>
  <c r="P157" i="10"/>
  <c r="O157" i="10"/>
  <c r="Q156" i="10"/>
  <c r="P156" i="10"/>
  <c r="O156" i="10"/>
  <c r="Q155" i="10"/>
  <c r="P155" i="10"/>
  <c r="O155" i="10"/>
  <c r="Q154" i="10"/>
  <c r="P154" i="10"/>
  <c r="O154" i="10"/>
  <c r="Q153" i="10"/>
  <c r="P153" i="10"/>
  <c r="O153" i="10"/>
  <c r="Q152" i="10"/>
  <c r="P152" i="10"/>
  <c r="O152" i="10"/>
  <c r="Q151" i="10"/>
  <c r="P151" i="10"/>
  <c r="O151" i="10"/>
  <c r="Q150" i="10"/>
  <c r="P150" i="10"/>
  <c r="O150" i="10"/>
  <c r="Q149" i="10"/>
  <c r="P149" i="10"/>
  <c r="O149" i="10"/>
  <c r="Q148" i="10"/>
  <c r="P148" i="10"/>
  <c r="O148" i="10"/>
  <c r="Q147" i="10"/>
  <c r="P147" i="10"/>
  <c r="O147" i="10"/>
  <c r="Q146" i="10"/>
  <c r="P146" i="10"/>
  <c r="O146" i="10"/>
  <c r="Q145" i="10"/>
  <c r="P145" i="10"/>
  <c r="O145" i="10"/>
  <c r="Q144" i="10"/>
  <c r="P144" i="10"/>
  <c r="O144" i="10"/>
  <c r="Q143" i="10"/>
  <c r="P143" i="10"/>
  <c r="O143" i="10"/>
  <c r="Q142" i="10"/>
  <c r="P142" i="10"/>
  <c r="O142" i="10"/>
  <c r="Q141" i="10"/>
  <c r="P141" i="10"/>
  <c r="O141" i="10"/>
  <c r="Q140" i="10"/>
  <c r="P140" i="10"/>
  <c r="O140" i="10"/>
  <c r="Q139" i="10"/>
  <c r="P139" i="10"/>
  <c r="O139" i="10"/>
  <c r="Q138" i="10"/>
  <c r="P138" i="10"/>
  <c r="O138" i="10"/>
  <c r="Q137" i="10"/>
  <c r="P137" i="10"/>
  <c r="O137" i="10"/>
  <c r="Q136" i="10"/>
  <c r="P136" i="10"/>
  <c r="O136" i="10"/>
  <c r="Q135" i="10"/>
  <c r="P135" i="10"/>
  <c r="O135" i="10"/>
  <c r="Q134" i="10"/>
  <c r="P134" i="10"/>
  <c r="O134" i="10"/>
  <c r="Q133" i="10"/>
  <c r="P133" i="10"/>
  <c r="O133" i="10"/>
  <c r="Q132" i="10"/>
  <c r="P132" i="10"/>
  <c r="O132" i="10"/>
  <c r="Q131" i="10"/>
  <c r="P131" i="10"/>
  <c r="O131" i="10"/>
  <c r="Q130" i="10"/>
  <c r="P130" i="10"/>
  <c r="O130" i="10"/>
  <c r="Q129" i="10"/>
  <c r="P129" i="10"/>
  <c r="O129" i="10"/>
  <c r="Q128" i="10"/>
  <c r="P128" i="10"/>
  <c r="O128" i="10"/>
  <c r="Q127" i="10"/>
  <c r="P127" i="10"/>
  <c r="O127" i="10"/>
  <c r="Q126" i="10"/>
  <c r="P126" i="10"/>
  <c r="O126" i="10"/>
  <c r="Q125" i="10"/>
  <c r="P125" i="10"/>
  <c r="O125" i="10"/>
  <c r="Q124" i="10"/>
  <c r="P124" i="10"/>
  <c r="O124" i="10"/>
  <c r="Q123" i="10"/>
  <c r="P123" i="10"/>
  <c r="O123" i="10"/>
  <c r="Q122" i="10"/>
  <c r="P122" i="10"/>
  <c r="O122" i="10"/>
  <c r="Q121" i="10"/>
  <c r="P121" i="10"/>
  <c r="O121" i="10"/>
  <c r="Q120" i="10"/>
  <c r="P120" i="10"/>
  <c r="O120" i="10"/>
  <c r="Q119" i="10"/>
  <c r="P119" i="10"/>
  <c r="O119" i="10"/>
  <c r="Q118" i="10"/>
  <c r="P118" i="10"/>
  <c r="O118" i="10"/>
  <c r="Q117" i="10"/>
  <c r="P117" i="10"/>
  <c r="O117" i="10"/>
  <c r="Q116" i="10"/>
  <c r="P116" i="10"/>
  <c r="O116" i="10"/>
  <c r="Q115" i="10"/>
  <c r="P115" i="10"/>
  <c r="O115" i="10"/>
  <c r="Q114" i="10"/>
  <c r="P114" i="10"/>
  <c r="O114" i="10"/>
  <c r="Q113" i="10"/>
  <c r="P113" i="10"/>
  <c r="O113" i="10"/>
  <c r="Q112" i="10"/>
  <c r="P112" i="10"/>
  <c r="O112" i="10"/>
  <c r="Q111" i="10"/>
  <c r="P111" i="10"/>
  <c r="O111" i="10"/>
  <c r="Q110" i="10"/>
  <c r="P110" i="10"/>
  <c r="O110" i="10"/>
  <c r="Q109" i="10"/>
  <c r="P109" i="10"/>
  <c r="O109" i="10"/>
  <c r="Q108" i="10"/>
  <c r="P108" i="10"/>
  <c r="O108" i="10"/>
  <c r="Q107" i="10"/>
  <c r="P107" i="10"/>
  <c r="O107" i="10"/>
  <c r="Q106" i="10"/>
  <c r="P106" i="10"/>
  <c r="O106" i="10"/>
  <c r="Q105" i="10"/>
  <c r="P105" i="10"/>
  <c r="O105" i="10"/>
  <c r="Q104" i="10"/>
  <c r="P104" i="10"/>
  <c r="O104" i="10"/>
  <c r="Q103" i="10"/>
  <c r="P103" i="10"/>
  <c r="O103" i="10"/>
  <c r="Q102" i="10"/>
  <c r="P102" i="10"/>
  <c r="O102" i="10"/>
  <c r="Q101" i="10"/>
  <c r="P101" i="10"/>
  <c r="O101" i="10"/>
  <c r="Q100" i="10"/>
  <c r="P100" i="10"/>
  <c r="O100" i="10"/>
  <c r="Q99" i="10"/>
  <c r="P99" i="10"/>
  <c r="O99" i="10"/>
  <c r="Q98" i="10"/>
  <c r="P98" i="10"/>
  <c r="O98" i="10"/>
  <c r="Q97" i="10"/>
  <c r="P97" i="10"/>
  <c r="O97" i="10"/>
  <c r="Q96" i="10"/>
  <c r="P96" i="10"/>
  <c r="O96" i="10"/>
  <c r="Q95" i="10"/>
  <c r="P95" i="10"/>
  <c r="O95" i="10"/>
  <c r="Q94" i="10"/>
  <c r="P94" i="10"/>
  <c r="O94" i="10"/>
  <c r="Q93" i="10"/>
  <c r="P93" i="10"/>
  <c r="O93" i="10"/>
  <c r="Q92" i="10"/>
  <c r="P92" i="10"/>
  <c r="O92" i="10"/>
  <c r="Q91" i="10"/>
  <c r="P91" i="10"/>
  <c r="O91" i="10"/>
  <c r="Q90" i="10"/>
  <c r="P90" i="10"/>
  <c r="O90" i="10"/>
  <c r="Q89" i="10"/>
  <c r="P89" i="10"/>
  <c r="O89" i="10"/>
  <c r="Q88" i="10"/>
  <c r="P88" i="10"/>
  <c r="O88" i="10"/>
  <c r="Q87" i="10"/>
  <c r="P87" i="10"/>
  <c r="O87" i="10"/>
  <c r="Q86" i="10"/>
  <c r="P86" i="10"/>
  <c r="O86" i="10"/>
  <c r="Q85" i="10"/>
  <c r="P85" i="10"/>
  <c r="O85" i="10"/>
  <c r="Q84" i="10"/>
  <c r="P84" i="10"/>
  <c r="O84" i="10"/>
  <c r="Q83" i="10"/>
  <c r="P83" i="10"/>
  <c r="O83" i="10"/>
  <c r="Q82" i="10"/>
  <c r="P82" i="10"/>
  <c r="O82" i="10"/>
  <c r="Q81" i="10"/>
  <c r="P81" i="10"/>
  <c r="O81" i="10"/>
  <c r="Q80" i="10"/>
  <c r="P80" i="10"/>
  <c r="O80" i="10"/>
  <c r="Q79" i="10"/>
  <c r="P79" i="10"/>
  <c r="O79" i="10"/>
  <c r="Q78" i="10"/>
  <c r="P78" i="10"/>
  <c r="O78" i="10"/>
  <c r="Q77" i="10"/>
  <c r="P77" i="10"/>
  <c r="O77" i="10"/>
  <c r="Q76" i="10"/>
  <c r="P76" i="10"/>
  <c r="O76" i="10"/>
  <c r="Q75" i="10"/>
  <c r="P75" i="10"/>
  <c r="O75" i="10"/>
  <c r="Q74" i="10"/>
  <c r="P74" i="10"/>
  <c r="O74" i="10"/>
  <c r="Q73" i="10"/>
  <c r="P73" i="10"/>
  <c r="O73" i="10"/>
  <c r="Q72" i="10"/>
  <c r="P72" i="10"/>
  <c r="O72" i="10"/>
  <c r="Q71" i="10"/>
  <c r="P71" i="10"/>
  <c r="O71" i="10"/>
  <c r="Q70" i="10"/>
  <c r="P70" i="10"/>
  <c r="O70" i="10"/>
  <c r="Q69" i="10"/>
  <c r="P69" i="10"/>
  <c r="O69" i="10"/>
  <c r="Q68" i="10"/>
  <c r="P68" i="10"/>
  <c r="O68" i="10"/>
  <c r="Q67" i="10"/>
  <c r="P67" i="10"/>
  <c r="O67" i="10"/>
  <c r="Q66" i="10"/>
  <c r="P66" i="10"/>
  <c r="O66" i="10"/>
  <c r="Q65" i="10"/>
  <c r="P65" i="10"/>
  <c r="O65" i="10"/>
  <c r="Q64" i="10"/>
  <c r="P64" i="10"/>
  <c r="O64" i="10"/>
  <c r="Q63" i="10"/>
  <c r="P63" i="10"/>
  <c r="O63" i="10"/>
  <c r="Q62" i="10"/>
  <c r="P62" i="10"/>
  <c r="O62" i="10"/>
  <c r="Q61" i="10"/>
  <c r="P61" i="10"/>
  <c r="O61" i="10"/>
  <c r="Q60" i="10"/>
  <c r="P60" i="10"/>
  <c r="O60" i="10"/>
  <c r="Q59" i="10"/>
  <c r="P59" i="10"/>
  <c r="O59" i="10"/>
  <c r="Q58" i="10"/>
  <c r="P58" i="10"/>
  <c r="O58" i="10"/>
  <c r="Q57" i="10"/>
  <c r="P57" i="10"/>
  <c r="O57" i="10"/>
  <c r="Q56" i="10"/>
  <c r="P56" i="10"/>
  <c r="O56" i="10"/>
  <c r="Q55" i="10"/>
  <c r="P55" i="10"/>
  <c r="O55" i="10"/>
  <c r="Q54" i="10"/>
  <c r="P54" i="10"/>
  <c r="O54" i="10"/>
  <c r="Q53" i="10"/>
  <c r="P53" i="10"/>
  <c r="O53" i="10"/>
  <c r="Q52" i="10"/>
  <c r="P52" i="10"/>
  <c r="O52" i="10"/>
  <c r="Q51" i="10"/>
  <c r="P51" i="10"/>
  <c r="O51" i="10"/>
  <c r="Q50" i="10"/>
  <c r="P50" i="10"/>
  <c r="O50" i="10"/>
  <c r="Q49" i="10"/>
  <c r="P49" i="10"/>
  <c r="O49" i="10"/>
  <c r="Q48" i="10"/>
  <c r="P48" i="10"/>
  <c r="O48" i="10"/>
  <c r="Q47" i="10"/>
  <c r="P47" i="10"/>
  <c r="O47" i="10"/>
  <c r="Q46" i="10"/>
  <c r="P46" i="10"/>
  <c r="O46" i="10"/>
  <c r="Q45" i="10"/>
  <c r="P45" i="10"/>
  <c r="O45" i="10"/>
  <c r="Q44" i="10"/>
  <c r="P44" i="10"/>
  <c r="O44" i="10"/>
  <c r="Q43" i="10"/>
  <c r="P43" i="10"/>
  <c r="O43" i="10"/>
  <c r="Q42" i="10"/>
  <c r="P42" i="10"/>
  <c r="O42" i="10"/>
  <c r="Q41" i="10"/>
  <c r="P41" i="10"/>
  <c r="O41" i="10"/>
  <c r="Q40" i="10"/>
  <c r="P40" i="10"/>
  <c r="O40" i="10"/>
  <c r="Q39" i="10"/>
  <c r="P39" i="10"/>
  <c r="O39" i="10"/>
  <c r="Q38" i="10"/>
  <c r="P38" i="10"/>
  <c r="O38" i="10"/>
  <c r="Q37" i="10"/>
  <c r="P37" i="10"/>
  <c r="O37" i="10"/>
  <c r="Q36" i="10"/>
  <c r="P36" i="10"/>
  <c r="O36" i="10"/>
  <c r="Q35" i="10"/>
  <c r="P35" i="10"/>
  <c r="O35" i="10"/>
  <c r="Q34" i="10"/>
  <c r="P34" i="10"/>
  <c r="O34" i="10"/>
  <c r="Q33" i="10"/>
  <c r="P33" i="10"/>
  <c r="O33" i="10"/>
  <c r="Q32" i="10"/>
  <c r="P32" i="10"/>
  <c r="O32" i="10"/>
  <c r="Q31" i="10"/>
  <c r="P31" i="10"/>
  <c r="O31" i="10"/>
  <c r="Q30" i="10"/>
  <c r="P30" i="10"/>
  <c r="O30" i="10"/>
  <c r="Q29" i="10"/>
  <c r="P29" i="10"/>
  <c r="O29" i="10"/>
  <c r="Q28" i="10"/>
  <c r="P28" i="10"/>
  <c r="O28" i="10"/>
  <c r="Q27" i="10"/>
  <c r="P27" i="10"/>
  <c r="O27" i="10"/>
  <c r="Q26" i="10"/>
  <c r="P26" i="10"/>
  <c r="O26" i="10"/>
  <c r="Q25" i="10"/>
  <c r="P25" i="10"/>
  <c r="O25" i="10"/>
  <c r="Q24" i="10"/>
  <c r="P24" i="10"/>
  <c r="O24" i="10"/>
  <c r="Q23" i="10"/>
  <c r="P23" i="10"/>
  <c r="O23" i="10"/>
  <c r="Q22" i="10"/>
  <c r="P22" i="10"/>
  <c r="O22" i="10"/>
  <c r="Q21" i="10"/>
  <c r="P21" i="10"/>
  <c r="O21" i="10"/>
  <c r="Q20" i="10"/>
  <c r="P20" i="10"/>
  <c r="O20" i="10"/>
  <c r="Q19" i="10"/>
  <c r="P19" i="10"/>
  <c r="O19" i="10"/>
  <c r="Q18" i="10"/>
  <c r="P18" i="10"/>
  <c r="O18" i="10"/>
  <c r="Q17" i="10"/>
  <c r="P17" i="10"/>
  <c r="O17" i="10"/>
  <c r="Q16" i="10"/>
  <c r="P16" i="10"/>
  <c r="O16" i="10"/>
  <c r="Q15" i="10"/>
  <c r="P15" i="10"/>
  <c r="O15" i="10"/>
  <c r="Q14" i="10"/>
  <c r="P14" i="10"/>
  <c r="O14" i="10"/>
  <c r="Q13" i="10"/>
  <c r="P13" i="10"/>
  <c r="O13" i="10"/>
  <c r="Q12" i="10"/>
  <c r="P12" i="10"/>
  <c r="O12" i="10"/>
  <c r="Q11" i="10"/>
  <c r="P11" i="10"/>
  <c r="O11" i="10"/>
  <c r="Q10" i="10"/>
  <c r="P10" i="10"/>
  <c r="O10" i="10"/>
  <c r="Q9" i="10"/>
  <c r="P9" i="10"/>
  <c r="O9" i="10"/>
  <c r="Q8" i="10"/>
  <c r="P8" i="10"/>
  <c r="O8" i="10"/>
  <c r="Q7" i="10"/>
  <c r="P7" i="10"/>
  <c r="O7" i="10"/>
  <c r="Q6" i="10"/>
  <c r="P6" i="10"/>
  <c r="O6" i="10"/>
  <c r="Q5" i="10"/>
  <c r="P5" i="10"/>
  <c r="O5" i="10"/>
  <c r="Q4" i="10"/>
  <c r="P4" i="10"/>
  <c r="O4" i="10"/>
  <c r="Q3" i="10"/>
  <c r="P3" i="10"/>
  <c r="O3" i="10"/>
  <c r="Q2" i="10"/>
  <c r="P2" i="10"/>
  <c r="O2" i="10"/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2" i="3"/>
</calcChain>
</file>

<file path=xl/sharedStrings.xml><?xml version="1.0" encoding="utf-8"?>
<sst xmlns="http://schemas.openxmlformats.org/spreadsheetml/2006/main" count="3991" uniqueCount="137">
  <si>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</si>
  <si>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</si>
  <si>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</si>
  <si>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</si>
  <si>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</si>
  <si>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</si>
  <si>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</si>
  <si>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</si>
  <si>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</si>
  <si>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</si>
  <si>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</si>
  <si>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</si>
  <si>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</si>
  <si>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</si>
  <si>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</si>
  <si>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</si>
  <si>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</si>
  <si>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</si>
  <si>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</si>
  <si>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</si>
  <si>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</si>
  <si>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</si>
  <si>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</si>
  <si>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</si>
  <si>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</si>
  <si>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</si>
  <si>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</si>
  <si>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</si>
  <si>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</si>
  <si>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</si>
  <si>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</si>
  <si>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</si>
  <si>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</si>
  <si>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</si>
  <si>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</si>
  <si>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</si>
  <si>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</si>
  <si>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</si>
  <si>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</si>
  <si>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</si>
  <si>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</si>
  <si>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</si>
  <si>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</si>
  <si>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</si>
  <si>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</si>
  <si>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</si>
  <si>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</si>
  <si>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</si>
  <si>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</si>
  <si>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</si>
  <si>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</si>
  <si>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</si>
  <si>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</si>
  <si>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</si>
  <si>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</si>
  <si>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</si>
  <si>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</si>
  <si>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</si>
  <si>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</si>
  <si>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</si>
  <si>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</si>
  <si>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</si>
  <si>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</si>
  <si>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</si>
  <si>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</si>
  <si>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</si>
  <si>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</si>
  <si>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</si>
  <si>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</si>
  <si>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</si>
  <si>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</si>
  <si>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</si>
  <si>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</si>
  <si>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</si>
  <si>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</si>
  <si>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</si>
  <si>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</si>
  <si>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</si>
  <si>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</si>
  <si>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</si>
  <si>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</si>
  <si>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</si>
  <si>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</si>
  <si>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</si>
  <si>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</si>
  <si>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</si>
  <si>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</si>
  <si>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</si>
  <si>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</si>
  <si>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</si>
  <si>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</si>
  <si>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</si>
  <si>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</si>
  <si>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</si>
  <si>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</si>
  <si>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</si>
  <si>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</si>
  <si>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</si>
  <si>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</si>
  <si>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</si>
  <si>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</si>
  <si>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</si>
  <si>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 xml:space="preserve">West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</si>
  <si>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</si>
  <si>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</si>
  <si>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</si>
  <si>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</si>
  <si>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</si>
  <si>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</si>
  <si>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</si>
  <si>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</si>
  <si>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</si>
  <si>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</si>
  <si>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</si>
  <si>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</si>
  <si>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</si>
  <si>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</si>
  <si>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</si>
  <si>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</si>
  <si>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</si>
  <si>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</si>
  <si>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</si>
  <si>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</si>
  <si>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</si>
  <si>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</si>
  <si>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</si>
  <si>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</si>
  <si>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Actual_Sales</t>
  </si>
  <si>
    <t>Predicted_Sales</t>
  </si>
  <si>
    <t>Model</t>
  </si>
  <si>
    <t>Variables Used</t>
  </si>
  <si>
    <t>R²</t>
  </si>
  <si>
    <t>Marketing Spend</t>
  </si>
  <si>
    <t>Footfall</t>
  </si>
  <si>
    <t>Inventory Availability</t>
  </si>
  <si>
    <t>Multiple Regression</t>
  </si>
  <si>
    <t>marketing + footfall + inventory +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</si>
</sst>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E902C-A882-43C2-B127-3D8F5D56A020}">
  <dimension ref="A1:N321"/>
  <sheetViews>
    <sheetView workbookViewId="0">
      <selection activeCell="F11" sqref="F11"/>
    </sheetView>
  </sheetViews>
  <sheetFormatPr defaultRowHeight="14.6"/>
  <sheetData>
    <row r="1" spans="1:14" ht="56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CD087-FEDF-4E73-AB7B-AD60A3B71D2B}">
  <dimension ref="A1:N321"/>
  <sheetViews>
    <sheetView topLeftCell="A307" workbookViewId="0">
      <selection activeCell="M2" sqref="M2:M321"/>
    </sheetView>
  </sheetViews>
  <sheetFormatPr defaultRowHeight="14.6"/>
  <sheetData>
    <row r="1" spans="1:14" ht="56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L35">
        <v>3.92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J73">
        <v>4.45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L87">
        <v>3.92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J100">
        <v>4.45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L135">
        <v>3.92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L138">
        <v>3.92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J164">
        <v>4.45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L197">
        <v>3.92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L229">
        <v>3.92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J233">
        <v>4.45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J250">
        <v>4.45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J263">
        <v>4.45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L313">
        <v>3.92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L315">
        <v>3.92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AD67D-8225-43B3-B142-465381948CB5}">
  <dimension ref="A1:Q321"/>
  <sheetViews>
    <sheetView topLeftCell="C1" workbookViewId="0">
      <selection activeCell="K4" sqref="A1:Q321"/>
    </sheetView>
  </sheetViews>
  <sheetFormatPr defaultRowHeight="14.6"/>
  <sheetData>
    <row r="1" spans="1:17" ht="56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20</v>
      </c>
      <c r="P1" s="1" t="s">
        <v>24</v>
      </c>
      <c r="Q1" s="1" t="s">
        <v>102</v>
      </c>
    </row>
    <row r="2" spans="1:17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  <c r="O2">
        <f>IF(C2="North",1,0)</f>
        <v>0</v>
      </c>
      <c r="P2">
        <f>IF(C2="South",1,0)</f>
        <v>0</v>
      </c>
      <c r="Q2">
        <f>IF(C2="West",1,0)</f>
        <v>0</v>
      </c>
    </row>
    <row r="3" spans="1:17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  <c r="O3">
        <f t="shared" ref="O3:O66" si="0">IF(C3="North",1,0)</f>
        <v>0</v>
      </c>
      <c r="P3">
        <f t="shared" ref="P3:P66" si="1">IF(C3="South",1,0)</f>
        <v>0</v>
      </c>
      <c r="Q3">
        <f t="shared" ref="Q3:Q66" si="2">IF(C3="West",1,0)</f>
        <v>0</v>
      </c>
    </row>
    <row r="4" spans="1:17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  <c r="O4">
        <f t="shared" si="0"/>
        <v>0</v>
      </c>
      <c r="P4">
        <f t="shared" si="1"/>
        <v>0</v>
      </c>
      <c r="Q4">
        <f t="shared" si="2"/>
        <v>0</v>
      </c>
    </row>
    <row r="5" spans="1:17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  <c r="O5">
        <f t="shared" si="0"/>
        <v>0</v>
      </c>
      <c r="P5">
        <f t="shared" si="1"/>
        <v>0</v>
      </c>
      <c r="Q5">
        <f t="shared" si="2"/>
        <v>0</v>
      </c>
    </row>
    <row r="6" spans="1:17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  <c r="O6">
        <f t="shared" si="0"/>
        <v>0</v>
      </c>
      <c r="P6">
        <f t="shared" si="1"/>
        <v>0</v>
      </c>
      <c r="Q6">
        <f t="shared" si="2"/>
        <v>0</v>
      </c>
    </row>
    <row r="7" spans="1:17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  <c r="O7">
        <f t="shared" si="0"/>
        <v>0</v>
      </c>
      <c r="P7">
        <f t="shared" si="1"/>
        <v>0</v>
      </c>
      <c r="Q7">
        <f t="shared" si="2"/>
        <v>0</v>
      </c>
    </row>
    <row r="8" spans="1:17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  <c r="O8">
        <f t="shared" si="0"/>
        <v>0</v>
      </c>
      <c r="P8">
        <f t="shared" si="1"/>
        <v>0</v>
      </c>
      <c r="Q8">
        <f t="shared" si="2"/>
        <v>0</v>
      </c>
    </row>
    <row r="9" spans="1:17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  <c r="O9">
        <f t="shared" si="0"/>
        <v>0</v>
      </c>
      <c r="P9">
        <f t="shared" si="1"/>
        <v>0</v>
      </c>
      <c r="Q9">
        <f t="shared" si="2"/>
        <v>0</v>
      </c>
    </row>
    <row r="10" spans="1:17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  <c r="O10">
        <f t="shared" si="0"/>
        <v>1</v>
      </c>
      <c r="P10">
        <f t="shared" si="1"/>
        <v>0</v>
      </c>
      <c r="Q10">
        <f t="shared" si="2"/>
        <v>0</v>
      </c>
    </row>
    <row r="11" spans="1:17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  <c r="O11">
        <f t="shared" si="0"/>
        <v>1</v>
      </c>
      <c r="P11">
        <f t="shared" si="1"/>
        <v>0</v>
      </c>
      <c r="Q11">
        <f t="shared" si="2"/>
        <v>0</v>
      </c>
    </row>
    <row r="12" spans="1:17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  <c r="O12">
        <f t="shared" si="0"/>
        <v>1</v>
      </c>
      <c r="P12">
        <f t="shared" si="1"/>
        <v>0</v>
      </c>
      <c r="Q12">
        <f t="shared" si="2"/>
        <v>0</v>
      </c>
    </row>
    <row r="13" spans="1:17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  <c r="O13">
        <f t="shared" si="0"/>
        <v>1</v>
      </c>
      <c r="P13">
        <f t="shared" si="1"/>
        <v>0</v>
      </c>
      <c r="Q13">
        <f t="shared" si="2"/>
        <v>0</v>
      </c>
    </row>
    <row r="14" spans="1:17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  <c r="O14">
        <f t="shared" si="0"/>
        <v>0</v>
      </c>
      <c r="P14">
        <f t="shared" si="1"/>
        <v>0</v>
      </c>
      <c r="Q14">
        <f t="shared" si="2"/>
        <v>0</v>
      </c>
    </row>
    <row r="15" spans="1:17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  <c r="O15">
        <f t="shared" si="0"/>
        <v>0</v>
      </c>
      <c r="P15">
        <f t="shared" si="1"/>
        <v>0</v>
      </c>
      <c r="Q15">
        <f t="shared" si="2"/>
        <v>0</v>
      </c>
    </row>
    <row r="16" spans="1:17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  <c r="O16">
        <f t="shared" si="0"/>
        <v>0</v>
      </c>
      <c r="P16">
        <f t="shared" si="1"/>
        <v>0</v>
      </c>
      <c r="Q16">
        <f t="shared" si="2"/>
        <v>0</v>
      </c>
    </row>
    <row r="17" spans="1:17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  <c r="O17">
        <f t="shared" si="0"/>
        <v>0</v>
      </c>
      <c r="P17">
        <f t="shared" si="1"/>
        <v>0</v>
      </c>
      <c r="Q17">
        <f t="shared" si="2"/>
        <v>0</v>
      </c>
    </row>
    <row r="18" spans="1:17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  <c r="O18">
        <f t="shared" si="0"/>
        <v>0</v>
      </c>
      <c r="P18">
        <f t="shared" si="1"/>
        <v>1</v>
      </c>
      <c r="Q18">
        <f t="shared" si="2"/>
        <v>0</v>
      </c>
    </row>
    <row r="19" spans="1:17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  <c r="O19">
        <f t="shared" si="0"/>
        <v>0</v>
      </c>
      <c r="P19">
        <f t="shared" si="1"/>
        <v>1</v>
      </c>
      <c r="Q19">
        <f t="shared" si="2"/>
        <v>0</v>
      </c>
    </row>
    <row r="20" spans="1:17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  <c r="O20">
        <f t="shared" si="0"/>
        <v>0</v>
      </c>
      <c r="P20">
        <f t="shared" si="1"/>
        <v>1</v>
      </c>
      <c r="Q20">
        <f t="shared" si="2"/>
        <v>0</v>
      </c>
    </row>
    <row r="21" spans="1:17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  <c r="O21">
        <f t="shared" si="0"/>
        <v>0</v>
      </c>
      <c r="P21">
        <f t="shared" si="1"/>
        <v>1</v>
      </c>
      <c r="Q21">
        <f t="shared" si="2"/>
        <v>0</v>
      </c>
    </row>
    <row r="22" spans="1:17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  <c r="O22">
        <f t="shared" si="0"/>
        <v>1</v>
      </c>
      <c r="P22">
        <f t="shared" si="1"/>
        <v>0</v>
      </c>
      <c r="Q22">
        <f t="shared" si="2"/>
        <v>0</v>
      </c>
    </row>
    <row r="23" spans="1:17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  <c r="O23">
        <f t="shared" si="0"/>
        <v>1</v>
      </c>
      <c r="P23">
        <f t="shared" si="1"/>
        <v>0</v>
      </c>
      <c r="Q23">
        <f t="shared" si="2"/>
        <v>0</v>
      </c>
    </row>
    <row r="24" spans="1:17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  <c r="O24">
        <f t="shared" si="0"/>
        <v>1</v>
      </c>
      <c r="P24">
        <f t="shared" si="1"/>
        <v>0</v>
      </c>
      <c r="Q24">
        <f t="shared" si="2"/>
        <v>0</v>
      </c>
    </row>
    <row r="25" spans="1:17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  <c r="O25">
        <f t="shared" si="0"/>
        <v>1</v>
      </c>
      <c r="P25">
        <f t="shared" si="1"/>
        <v>0</v>
      </c>
      <c r="Q25">
        <f t="shared" si="2"/>
        <v>0</v>
      </c>
    </row>
    <row r="26" spans="1:17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  <c r="O26">
        <f t="shared" si="0"/>
        <v>0</v>
      </c>
      <c r="P26">
        <f t="shared" si="1"/>
        <v>0</v>
      </c>
      <c r="Q26">
        <f t="shared" si="2"/>
        <v>1</v>
      </c>
    </row>
    <row r="27" spans="1:17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  <c r="O27">
        <f t="shared" si="0"/>
        <v>0</v>
      </c>
      <c r="P27">
        <f t="shared" si="1"/>
        <v>0</v>
      </c>
      <c r="Q27">
        <f t="shared" si="2"/>
        <v>1</v>
      </c>
    </row>
    <row r="28" spans="1:17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  <c r="O28">
        <f t="shared" si="0"/>
        <v>0</v>
      </c>
      <c r="P28">
        <f t="shared" si="1"/>
        <v>0</v>
      </c>
      <c r="Q28">
        <f t="shared" si="2"/>
        <v>1</v>
      </c>
    </row>
    <row r="29" spans="1:17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  <c r="O29">
        <f t="shared" si="0"/>
        <v>0</v>
      </c>
      <c r="P29">
        <f t="shared" si="1"/>
        <v>0</v>
      </c>
      <c r="Q29">
        <f t="shared" si="2"/>
        <v>1</v>
      </c>
    </row>
    <row r="30" spans="1:17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  <c r="O30">
        <f t="shared" si="0"/>
        <v>0</v>
      </c>
      <c r="P30">
        <f t="shared" si="1"/>
        <v>0</v>
      </c>
      <c r="Q30">
        <f t="shared" si="2"/>
        <v>0</v>
      </c>
    </row>
    <row r="31" spans="1:17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  <c r="O31">
        <f t="shared" si="0"/>
        <v>0</v>
      </c>
      <c r="P31">
        <f t="shared" si="1"/>
        <v>0</v>
      </c>
      <c r="Q31">
        <f t="shared" si="2"/>
        <v>0</v>
      </c>
    </row>
    <row r="32" spans="1:17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  <c r="O32">
        <f t="shared" si="0"/>
        <v>0</v>
      </c>
      <c r="P32">
        <f t="shared" si="1"/>
        <v>0</v>
      </c>
      <c r="Q32">
        <f t="shared" si="2"/>
        <v>0</v>
      </c>
    </row>
    <row r="33" spans="1:17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  <c r="O33">
        <f t="shared" si="0"/>
        <v>0</v>
      </c>
      <c r="P33">
        <f t="shared" si="1"/>
        <v>0</v>
      </c>
      <c r="Q33">
        <f t="shared" si="2"/>
        <v>0</v>
      </c>
    </row>
    <row r="34" spans="1:17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  <c r="O34">
        <f t="shared" si="0"/>
        <v>1</v>
      </c>
      <c r="P34">
        <f t="shared" si="1"/>
        <v>0</v>
      </c>
      <c r="Q34">
        <f t="shared" si="2"/>
        <v>0</v>
      </c>
    </row>
    <row r="35" spans="1:17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L35">
        <v>3.92</v>
      </c>
      <c r="M35">
        <v>799477.76000000001</v>
      </c>
      <c r="N35">
        <v>164974.41</v>
      </c>
      <c r="O35">
        <f t="shared" si="0"/>
        <v>1</v>
      </c>
      <c r="P35">
        <f t="shared" si="1"/>
        <v>0</v>
      </c>
      <c r="Q35">
        <f t="shared" si="2"/>
        <v>0</v>
      </c>
    </row>
    <row r="36" spans="1:17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  <c r="O36">
        <f t="shared" si="0"/>
        <v>1</v>
      </c>
      <c r="P36">
        <f t="shared" si="1"/>
        <v>0</v>
      </c>
      <c r="Q36">
        <f t="shared" si="2"/>
        <v>0</v>
      </c>
    </row>
    <row r="37" spans="1:17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  <c r="O37">
        <f t="shared" si="0"/>
        <v>1</v>
      </c>
      <c r="P37">
        <f t="shared" si="1"/>
        <v>0</v>
      </c>
      <c r="Q37">
        <f t="shared" si="2"/>
        <v>0</v>
      </c>
    </row>
    <row r="38" spans="1:17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  <c r="O38">
        <f t="shared" si="0"/>
        <v>1</v>
      </c>
      <c r="P38">
        <f t="shared" si="1"/>
        <v>0</v>
      </c>
      <c r="Q38">
        <f t="shared" si="2"/>
        <v>0</v>
      </c>
    </row>
    <row r="39" spans="1:17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  <c r="O39">
        <f t="shared" si="0"/>
        <v>1</v>
      </c>
      <c r="P39">
        <f t="shared" si="1"/>
        <v>0</v>
      </c>
      <c r="Q39">
        <f t="shared" si="2"/>
        <v>0</v>
      </c>
    </row>
    <row r="40" spans="1:17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  <c r="O40">
        <f t="shared" si="0"/>
        <v>1</v>
      </c>
      <c r="P40">
        <f t="shared" si="1"/>
        <v>0</v>
      </c>
      <c r="Q40">
        <f t="shared" si="2"/>
        <v>0</v>
      </c>
    </row>
    <row r="41" spans="1:17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  <c r="O41">
        <f t="shared" si="0"/>
        <v>1</v>
      </c>
      <c r="P41">
        <f t="shared" si="1"/>
        <v>0</v>
      </c>
      <c r="Q41">
        <f t="shared" si="2"/>
        <v>0</v>
      </c>
    </row>
    <row r="42" spans="1:17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  <c r="O42">
        <f t="shared" si="0"/>
        <v>0</v>
      </c>
      <c r="P42">
        <f t="shared" si="1"/>
        <v>0</v>
      </c>
      <c r="Q42">
        <f t="shared" si="2"/>
        <v>0</v>
      </c>
    </row>
    <row r="43" spans="1:17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  <c r="O43">
        <f t="shared" si="0"/>
        <v>0</v>
      </c>
      <c r="P43">
        <f t="shared" si="1"/>
        <v>0</v>
      </c>
      <c r="Q43">
        <f t="shared" si="2"/>
        <v>0</v>
      </c>
    </row>
    <row r="44" spans="1:17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  <c r="O44">
        <f t="shared" si="0"/>
        <v>0</v>
      </c>
      <c r="P44">
        <f t="shared" si="1"/>
        <v>0</v>
      </c>
      <c r="Q44">
        <f t="shared" si="2"/>
        <v>0</v>
      </c>
    </row>
    <row r="45" spans="1:17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  <c r="O45">
        <f t="shared" si="0"/>
        <v>0</v>
      </c>
      <c r="P45">
        <f t="shared" si="1"/>
        <v>0</v>
      </c>
      <c r="Q45">
        <f t="shared" si="2"/>
        <v>0</v>
      </c>
    </row>
    <row r="46" spans="1:17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  <c r="O46">
        <f t="shared" si="0"/>
        <v>0</v>
      </c>
      <c r="P46">
        <f t="shared" si="1"/>
        <v>0</v>
      </c>
      <c r="Q46">
        <f t="shared" si="2"/>
        <v>1</v>
      </c>
    </row>
    <row r="47" spans="1:17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  <c r="O47">
        <f t="shared" si="0"/>
        <v>0</v>
      </c>
      <c r="P47">
        <f t="shared" si="1"/>
        <v>0</v>
      </c>
      <c r="Q47">
        <f t="shared" si="2"/>
        <v>1</v>
      </c>
    </row>
    <row r="48" spans="1:17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  <c r="O48">
        <f t="shared" si="0"/>
        <v>0</v>
      </c>
      <c r="P48">
        <f t="shared" si="1"/>
        <v>0</v>
      </c>
      <c r="Q48">
        <f t="shared" si="2"/>
        <v>1</v>
      </c>
    </row>
    <row r="49" spans="1:17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  <c r="O49">
        <f t="shared" si="0"/>
        <v>0</v>
      </c>
      <c r="P49">
        <f t="shared" si="1"/>
        <v>0</v>
      </c>
      <c r="Q49">
        <f t="shared" si="2"/>
        <v>1</v>
      </c>
    </row>
    <row r="50" spans="1:17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  <c r="O50">
        <f t="shared" si="0"/>
        <v>1</v>
      </c>
      <c r="P50">
        <f t="shared" si="1"/>
        <v>0</v>
      </c>
      <c r="Q50">
        <f t="shared" si="2"/>
        <v>0</v>
      </c>
    </row>
    <row r="51" spans="1:17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  <c r="O51">
        <f t="shared" si="0"/>
        <v>1</v>
      </c>
      <c r="P51">
        <f t="shared" si="1"/>
        <v>0</v>
      </c>
      <c r="Q51">
        <f t="shared" si="2"/>
        <v>0</v>
      </c>
    </row>
    <row r="52" spans="1:17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  <c r="O52">
        <f t="shared" si="0"/>
        <v>1</v>
      </c>
      <c r="P52">
        <f t="shared" si="1"/>
        <v>0</v>
      </c>
      <c r="Q52">
        <f t="shared" si="2"/>
        <v>0</v>
      </c>
    </row>
    <row r="53" spans="1:17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  <c r="O53">
        <f t="shared" si="0"/>
        <v>1</v>
      </c>
      <c r="P53">
        <f t="shared" si="1"/>
        <v>0</v>
      </c>
      <c r="Q53">
        <f t="shared" si="2"/>
        <v>0</v>
      </c>
    </row>
    <row r="54" spans="1:17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  <c r="O54">
        <f t="shared" si="0"/>
        <v>0</v>
      </c>
      <c r="P54">
        <f t="shared" si="1"/>
        <v>0</v>
      </c>
      <c r="Q54">
        <f t="shared" si="2"/>
        <v>1</v>
      </c>
    </row>
    <row r="55" spans="1:17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  <c r="O55">
        <f t="shared" si="0"/>
        <v>0</v>
      </c>
      <c r="P55">
        <f t="shared" si="1"/>
        <v>0</v>
      </c>
      <c r="Q55">
        <f t="shared" si="2"/>
        <v>1</v>
      </c>
    </row>
    <row r="56" spans="1:17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  <c r="O56">
        <f t="shared" si="0"/>
        <v>0</v>
      </c>
      <c r="P56">
        <f t="shared" si="1"/>
        <v>0</v>
      </c>
      <c r="Q56">
        <f t="shared" si="2"/>
        <v>1</v>
      </c>
    </row>
    <row r="57" spans="1:17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  <c r="O57">
        <f t="shared" si="0"/>
        <v>0</v>
      </c>
      <c r="P57">
        <f t="shared" si="1"/>
        <v>0</v>
      </c>
      <c r="Q57">
        <f t="shared" si="2"/>
        <v>1</v>
      </c>
    </row>
    <row r="58" spans="1:17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  <c r="O58">
        <f t="shared" si="0"/>
        <v>0</v>
      </c>
      <c r="P58">
        <f t="shared" si="1"/>
        <v>0</v>
      </c>
      <c r="Q58">
        <f t="shared" si="2"/>
        <v>0</v>
      </c>
    </row>
    <row r="59" spans="1:17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  <c r="O59">
        <f t="shared" si="0"/>
        <v>0</v>
      </c>
      <c r="P59">
        <f t="shared" si="1"/>
        <v>0</v>
      </c>
      <c r="Q59">
        <f t="shared" si="2"/>
        <v>0</v>
      </c>
    </row>
    <row r="60" spans="1:17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  <c r="O60">
        <f t="shared" si="0"/>
        <v>0</v>
      </c>
      <c r="P60">
        <f t="shared" si="1"/>
        <v>0</v>
      </c>
      <c r="Q60">
        <f t="shared" si="2"/>
        <v>0</v>
      </c>
    </row>
    <row r="61" spans="1:17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  <c r="O61">
        <f t="shared" si="0"/>
        <v>0</v>
      </c>
      <c r="P61">
        <f t="shared" si="1"/>
        <v>0</v>
      </c>
      <c r="Q61">
        <f t="shared" si="2"/>
        <v>0</v>
      </c>
    </row>
    <row r="62" spans="1:17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  <c r="O62">
        <f t="shared" si="0"/>
        <v>0</v>
      </c>
      <c r="P62">
        <f t="shared" si="1"/>
        <v>1</v>
      </c>
      <c r="Q62">
        <f t="shared" si="2"/>
        <v>0</v>
      </c>
    </row>
    <row r="63" spans="1:17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  <c r="O63">
        <f t="shared" si="0"/>
        <v>0</v>
      </c>
      <c r="P63">
        <f t="shared" si="1"/>
        <v>1</v>
      </c>
      <c r="Q63">
        <f t="shared" si="2"/>
        <v>0</v>
      </c>
    </row>
    <row r="64" spans="1:17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  <c r="O64">
        <f t="shared" si="0"/>
        <v>0</v>
      </c>
      <c r="P64">
        <f t="shared" si="1"/>
        <v>1</v>
      </c>
      <c r="Q64">
        <f t="shared" si="2"/>
        <v>0</v>
      </c>
    </row>
    <row r="65" spans="1:17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  <c r="O65">
        <f t="shared" si="0"/>
        <v>0</v>
      </c>
      <c r="P65">
        <f t="shared" si="1"/>
        <v>1</v>
      </c>
      <c r="Q65">
        <f t="shared" si="2"/>
        <v>0</v>
      </c>
    </row>
    <row r="66" spans="1:17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  <c r="O66">
        <f t="shared" si="0"/>
        <v>0</v>
      </c>
      <c r="P66">
        <f t="shared" si="1"/>
        <v>0</v>
      </c>
      <c r="Q66">
        <f t="shared" si="2"/>
        <v>1</v>
      </c>
    </row>
    <row r="67" spans="1:17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  <c r="O67">
        <f t="shared" ref="O67:O130" si="3">IF(C67="North",1,0)</f>
        <v>0</v>
      </c>
      <c r="P67">
        <f t="shared" ref="P67:P130" si="4">IF(C67="South",1,0)</f>
        <v>0</v>
      </c>
      <c r="Q67">
        <f t="shared" ref="Q67:Q130" si="5">IF(C67="West",1,0)</f>
        <v>1</v>
      </c>
    </row>
    <row r="68" spans="1:17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  <c r="O68">
        <f t="shared" si="3"/>
        <v>0</v>
      </c>
      <c r="P68">
        <f t="shared" si="4"/>
        <v>0</v>
      </c>
      <c r="Q68">
        <f t="shared" si="5"/>
        <v>1</v>
      </c>
    </row>
    <row r="69" spans="1:17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  <c r="O69">
        <f t="shared" si="3"/>
        <v>0</v>
      </c>
      <c r="P69">
        <f t="shared" si="4"/>
        <v>0</v>
      </c>
      <c r="Q69">
        <f t="shared" si="5"/>
        <v>1</v>
      </c>
    </row>
    <row r="70" spans="1:17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  <c r="O70">
        <f t="shared" si="3"/>
        <v>0</v>
      </c>
      <c r="P70">
        <f t="shared" si="4"/>
        <v>0</v>
      </c>
      <c r="Q70">
        <f t="shared" si="5"/>
        <v>0</v>
      </c>
    </row>
    <row r="71" spans="1:17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  <c r="O71">
        <f t="shared" si="3"/>
        <v>0</v>
      </c>
      <c r="P71">
        <f t="shared" si="4"/>
        <v>0</v>
      </c>
      <c r="Q71">
        <f t="shared" si="5"/>
        <v>0</v>
      </c>
    </row>
    <row r="72" spans="1:17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  <c r="O72">
        <f t="shared" si="3"/>
        <v>0</v>
      </c>
      <c r="P72">
        <f t="shared" si="4"/>
        <v>0</v>
      </c>
      <c r="Q72">
        <f t="shared" si="5"/>
        <v>0</v>
      </c>
    </row>
    <row r="73" spans="1:17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J73">
        <v>4.45</v>
      </c>
      <c r="K73">
        <v>0</v>
      </c>
      <c r="L73">
        <v>3.5</v>
      </c>
      <c r="M73">
        <v>674774.09</v>
      </c>
      <c r="N73">
        <v>141917.59</v>
      </c>
      <c r="O73">
        <f t="shared" si="3"/>
        <v>0</v>
      </c>
      <c r="P73">
        <f t="shared" si="4"/>
        <v>0</v>
      </c>
      <c r="Q73">
        <f t="shared" si="5"/>
        <v>0</v>
      </c>
    </row>
    <row r="74" spans="1:17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  <c r="O74">
        <f t="shared" si="3"/>
        <v>0</v>
      </c>
      <c r="P74">
        <f t="shared" si="4"/>
        <v>0</v>
      </c>
      <c r="Q74">
        <f t="shared" si="5"/>
        <v>0</v>
      </c>
    </row>
    <row r="75" spans="1:17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  <c r="O75">
        <f t="shared" si="3"/>
        <v>0</v>
      </c>
      <c r="P75">
        <f t="shared" si="4"/>
        <v>0</v>
      </c>
      <c r="Q75">
        <f t="shared" si="5"/>
        <v>0</v>
      </c>
    </row>
    <row r="76" spans="1:17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  <c r="O76">
        <f t="shared" si="3"/>
        <v>0</v>
      </c>
      <c r="P76">
        <f t="shared" si="4"/>
        <v>0</v>
      </c>
      <c r="Q76">
        <f t="shared" si="5"/>
        <v>0</v>
      </c>
    </row>
    <row r="77" spans="1:17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  <c r="O77">
        <f t="shared" si="3"/>
        <v>0</v>
      </c>
      <c r="P77">
        <f t="shared" si="4"/>
        <v>0</v>
      </c>
      <c r="Q77">
        <f t="shared" si="5"/>
        <v>0</v>
      </c>
    </row>
    <row r="78" spans="1:17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  <c r="O78">
        <f t="shared" si="3"/>
        <v>0</v>
      </c>
      <c r="P78">
        <f t="shared" si="4"/>
        <v>1</v>
      </c>
      <c r="Q78">
        <f t="shared" si="5"/>
        <v>0</v>
      </c>
    </row>
    <row r="79" spans="1:17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  <c r="O79">
        <f t="shared" si="3"/>
        <v>0</v>
      </c>
      <c r="P79">
        <f t="shared" si="4"/>
        <v>1</v>
      </c>
      <c r="Q79">
        <f t="shared" si="5"/>
        <v>0</v>
      </c>
    </row>
    <row r="80" spans="1:17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  <c r="O80">
        <f t="shared" si="3"/>
        <v>0</v>
      </c>
      <c r="P80">
        <f t="shared" si="4"/>
        <v>1</v>
      </c>
      <c r="Q80">
        <f t="shared" si="5"/>
        <v>0</v>
      </c>
    </row>
    <row r="81" spans="1:17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  <c r="O81">
        <f t="shared" si="3"/>
        <v>0</v>
      </c>
      <c r="P81">
        <f t="shared" si="4"/>
        <v>1</v>
      </c>
      <c r="Q81">
        <f t="shared" si="5"/>
        <v>0</v>
      </c>
    </row>
    <row r="82" spans="1:17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  <c r="O82">
        <f t="shared" si="3"/>
        <v>0</v>
      </c>
      <c r="P82">
        <f t="shared" si="4"/>
        <v>0</v>
      </c>
      <c r="Q82">
        <f t="shared" si="5"/>
        <v>1</v>
      </c>
    </row>
    <row r="83" spans="1:17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  <c r="O83">
        <f t="shared" si="3"/>
        <v>0</v>
      </c>
      <c r="P83">
        <f t="shared" si="4"/>
        <v>0</v>
      </c>
      <c r="Q83">
        <f t="shared" si="5"/>
        <v>1</v>
      </c>
    </row>
    <row r="84" spans="1:17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  <c r="O84">
        <f t="shared" si="3"/>
        <v>0</v>
      </c>
      <c r="P84">
        <f t="shared" si="4"/>
        <v>0</v>
      </c>
      <c r="Q84">
        <f t="shared" si="5"/>
        <v>1</v>
      </c>
    </row>
    <row r="85" spans="1:17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  <c r="O85">
        <f t="shared" si="3"/>
        <v>0</v>
      </c>
      <c r="P85">
        <f t="shared" si="4"/>
        <v>0</v>
      </c>
      <c r="Q85">
        <f t="shared" si="5"/>
        <v>1</v>
      </c>
    </row>
    <row r="86" spans="1:17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  <c r="O86">
        <f t="shared" si="3"/>
        <v>0</v>
      </c>
      <c r="P86">
        <f t="shared" si="4"/>
        <v>0</v>
      </c>
      <c r="Q86">
        <f t="shared" si="5"/>
        <v>1</v>
      </c>
    </row>
    <row r="87" spans="1:17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L87">
        <v>3.92</v>
      </c>
      <c r="M87">
        <v>611766.72</v>
      </c>
      <c r="N87">
        <v>88275.61</v>
      </c>
      <c r="O87">
        <f t="shared" si="3"/>
        <v>0</v>
      </c>
      <c r="P87">
        <f t="shared" si="4"/>
        <v>0</v>
      </c>
      <c r="Q87">
        <f t="shared" si="5"/>
        <v>1</v>
      </c>
    </row>
    <row r="88" spans="1:17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  <c r="O88">
        <f t="shared" si="3"/>
        <v>0</v>
      </c>
      <c r="P88">
        <f t="shared" si="4"/>
        <v>0</v>
      </c>
      <c r="Q88">
        <f t="shared" si="5"/>
        <v>1</v>
      </c>
    </row>
    <row r="89" spans="1:17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  <c r="O89">
        <f t="shared" si="3"/>
        <v>0</v>
      </c>
      <c r="P89">
        <f t="shared" si="4"/>
        <v>0</v>
      </c>
      <c r="Q89">
        <f t="shared" si="5"/>
        <v>1</v>
      </c>
    </row>
    <row r="90" spans="1:17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  <c r="O90">
        <f t="shared" si="3"/>
        <v>0</v>
      </c>
      <c r="P90">
        <f t="shared" si="4"/>
        <v>1</v>
      </c>
      <c r="Q90">
        <f t="shared" si="5"/>
        <v>0</v>
      </c>
    </row>
    <row r="91" spans="1:17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  <c r="O91">
        <f t="shared" si="3"/>
        <v>0</v>
      </c>
      <c r="P91">
        <f t="shared" si="4"/>
        <v>1</v>
      </c>
      <c r="Q91">
        <f t="shared" si="5"/>
        <v>0</v>
      </c>
    </row>
    <row r="92" spans="1:17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  <c r="O92">
        <f t="shared" si="3"/>
        <v>0</v>
      </c>
      <c r="P92">
        <f t="shared" si="4"/>
        <v>1</v>
      </c>
      <c r="Q92">
        <f t="shared" si="5"/>
        <v>0</v>
      </c>
    </row>
    <row r="93" spans="1:17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  <c r="O93">
        <f t="shared" si="3"/>
        <v>0</v>
      </c>
      <c r="P93">
        <f t="shared" si="4"/>
        <v>1</v>
      </c>
      <c r="Q93">
        <f t="shared" si="5"/>
        <v>0</v>
      </c>
    </row>
    <row r="94" spans="1:17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  <c r="O94">
        <f t="shared" si="3"/>
        <v>0</v>
      </c>
      <c r="P94">
        <f t="shared" si="4"/>
        <v>0</v>
      </c>
      <c r="Q94">
        <f t="shared" si="5"/>
        <v>1</v>
      </c>
    </row>
    <row r="95" spans="1:17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  <c r="O95">
        <f t="shared" si="3"/>
        <v>0</v>
      </c>
      <c r="P95">
        <f t="shared" si="4"/>
        <v>0</v>
      </c>
      <c r="Q95">
        <f t="shared" si="5"/>
        <v>1</v>
      </c>
    </row>
    <row r="96" spans="1:17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  <c r="O96">
        <f t="shared" si="3"/>
        <v>0</v>
      </c>
      <c r="P96">
        <f t="shared" si="4"/>
        <v>0</v>
      </c>
      <c r="Q96">
        <f t="shared" si="5"/>
        <v>1</v>
      </c>
    </row>
    <row r="97" spans="1:17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  <c r="O97">
        <f t="shared" si="3"/>
        <v>0</v>
      </c>
      <c r="P97">
        <f t="shared" si="4"/>
        <v>0</v>
      </c>
      <c r="Q97">
        <f t="shared" si="5"/>
        <v>1</v>
      </c>
    </row>
    <row r="98" spans="1:17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  <c r="O98">
        <f t="shared" si="3"/>
        <v>0</v>
      </c>
      <c r="P98">
        <f t="shared" si="4"/>
        <v>0</v>
      </c>
      <c r="Q98">
        <f t="shared" si="5"/>
        <v>1</v>
      </c>
    </row>
    <row r="99" spans="1:17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  <c r="O99">
        <f t="shared" si="3"/>
        <v>0</v>
      </c>
      <c r="P99">
        <f t="shared" si="4"/>
        <v>0</v>
      </c>
      <c r="Q99">
        <f t="shared" si="5"/>
        <v>1</v>
      </c>
    </row>
    <row r="100" spans="1:17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J100">
        <v>4.45</v>
      </c>
      <c r="K100">
        <v>0</v>
      </c>
      <c r="L100">
        <v>4.3</v>
      </c>
      <c r="M100">
        <v>605775.32999999996</v>
      </c>
      <c r="N100">
        <v>107194.6</v>
      </c>
      <c r="O100">
        <f t="shared" si="3"/>
        <v>0</v>
      </c>
      <c r="P100">
        <f t="shared" si="4"/>
        <v>0</v>
      </c>
      <c r="Q100">
        <f t="shared" si="5"/>
        <v>1</v>
      </c>
    </row>
    <row r="101" spans="1:17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  <c r="O101">
        <f t="shared" si="3"/>
        <v>0</v>
      </c>
      <c r="P101">
        <f t="shared" si="4"/>
        <v>0</v>
      </c>
      <c r="Q101">
        <f t="shared" si="5"/>
        <v>1</v>
      </c>
    </row>
    <row r="102" spans="1:17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  <c r="O102">
        <f t="shared" si="3"/>
        <v>0</v>
      </c>
      <c r="P102">
        <f t="shared" si="4"/>
        <v>0</v>
      </c>
      <c r="Q102">
        <f t="shared" si="5"/>
        <v>0</v>
      </c>
    </row>
    <row r="103" spans="1:17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  <c r="O103">
        <f t="shared" si="3"/>
        <v>0</v>
      </c>
      <c r="P103">
        <f t="shared" si="4"/>
        <v>0</v>
      </c>
      <c r="Q103">
        <f t="shared" si="5"/>
        <v>0</v>
      </c>
    </row>
    <row r="104" spans="1:17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  <c r="O104">
        <f t="shared" si="3"/>
        <v>0</v>
      </c>
      <c r="P104">
        <f t="shared" si="4"/>
        <v>0</v>
      </c>
      <c r="Q104">
        <f t="shared" si="5"/>
        <v>0</v>
      </c>
    </row>
    <row r="105" spans="1:17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  <c r="O105">
        <f t="shared" si="3"/>
        <v>0</v>
      </c>
      <c r="P105">
        <f t="shared" si="4"/>
        <v>0</v>
      </c>
      <c r="Q105">
        <f t="shared" si="5"/>
        <v>0</v>
      </c>
    </row>
    <row r="106" spans="1:17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  <c r="O106">
        <f t="shared" si="3"/>
        <v>0</v>
      </c>
      <c r="P106">
        <f t="shared" si="4"/>
        <v>0</v>
      </c>
      <c r="Q106">
        <f t="shared" si="5"/>
        <v>1</v>
      </c>
    </row>
    <row r="107" spans="1:17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  <c r="O107">
        <f t="shared" si="3"/>
        <v>0</v>
      </c>
      <c r="P107">
        <f t="shared" si="4"/>
        <v>0</v>
      </c>
      <c r="Q107">
        <f t="shared" si="5"/>
        <v>1</v>
      </c>
    </row>
    <row r="108" spans="1:17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  <c r="O108">
        <f t="shared" si="3"/>
        <v>0</v>
      </c>
      <c r="P108">
        <f t="shared" si="4"/>
        <v>0</v>
      </c>
      <c r="Q108">
        <f t="shared" si="5"/>
        <v>1</v>
      </c>
    </row>
    <row r="109" spans="1:17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  <c r="O109">
        <f t="shared" si="3"/>
        <v>0</v>
      </c>
      <c r="P109">
        <f t="shared" si="4"/>
        <v>0</v>
      </c>
      <c r="Q109">
        <f t="shared" si="5"/>
        <v>1</v>
      </c>
    </row>
    <row r="110" spans="1:17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  <c r="O110">
        <f t="shared" si="3"/>
        <v>0</v>
      </c>
      <c r="P110">
        <f t="shared" si="4"/>
        <v>0</v>
      </c>
      <c r="Q110">
        <f t="shared" si="5"/>
        <v>0</v>
      </c>
    </row>
    <row r="111" spans="1:17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  <c r="O111">
        <f t="shared" si="3"/>
        <v>0</v>
      </c>
      <c r="P111">
        <f t="shared" si="4"/>
        <v>0</v>
      </c>
      <c r="Q111">
        <f t="shared" si="5"/>
        <v>0</v>
      </c>
    </row>
    <row r="112" spans="1:17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  <c r="O112">
        <f t="shared" si="3"/>
        <v>0</v>
      </c>
      <c r="P112">
        <f t="shared" si="4"/>
        <v>0</v>
      </c>
      <c r="Q112">
        <f t="shared" si="5"/>
        <v>0</v>
      </c>
    </row>
    <row r="113" spans="1:17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  <c r="O113">
        <f t="shared" si="3"/>
        <v>0</v>
      </c>
      <c r="P113">
        <f t="shared" si="4"/>
        <v>0</v>
      </c>
      <c r="Q113">
        <f t="shared" si="5"/>
        <v>0</v>
      </c>
    </row>
    <row r="114" spans="1:17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  <c r="O114">
        <f t="shared" si="3"/>
        <v>0</v>
      </c>
      <c r="P114">
        <f t="shared" si="4"/>
        <v>0</v>
      </c>
      <c r="Q114">
        <f t="shared" si="5"/>
        <v>1</v>
      </c>
    </row>
    <row r="115" spans="1:17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  <c r="O115">
        <f t="shared" si="3"/>
        <v>0</v>
      </c>
      <c r="P115">
        <f t="shared" si="4"/>
        <v>0</v>
      </c>
      <c r="Q115">
        <f t="shared" si="5"/>
        <v>1</v>
      </c>
    </row>
    <row r="116" spans="1:17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  <c r="O116">
        <f t="shared" si="3"/>
        <v>0</v>
      </c>
      <c r="P116">
        <f t="shared" si="4"/>
        <v>0</v>
      </c>
      <c r="Q116">
        <f t="shared" si="5"/>
        <v>1</v>
      </c>
    </row>
    <row r="117" spans="1:17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  <c r="O117">
        <f t="shared" si="3"/>
        <v>0</v>
      </c>
      <c r="P117">
        <f t="shared" si="4"/>
        <v>0</v>
      </c>
      <c r="Q117">
        <f t="shared" si="5"/>
        <v>1</v>
      </c>
    </row>
    <row r="118" spans="1:17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  <c r="O118">
        <f t="shared" si="3"/>
        <v>0</v>
      </c>
      <c r="P118">
        <f t="shared" si="4"/>
        <v>0</v>
      </c>
      <c r="Q118">
        <f t="shared" si="5"/>
        <v>1</v>
      </c>
    </row>
    <row r="119" spans="1:17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  <c r="O119">
        <f t="shared" si="3"/>
        <v>0</v>
      </c>
      <c r="P119">
        <f t="shared" si="4"/>
        <v>0</v>
      </c>
      <c r="Q119">
        <f t="shared" si="5"/>
        <v>1</v>
      </c>
    </row>
    <row r="120" spans="1:17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  <c r="O120">
        <f t="shared" si="3"/>
        <v>0</v>
      </c>
      <c r="P120">
        <f t="shared" si="4"/>
        <v>0</v>
      </c>
      <c r="Q120">
        <f t="shared" si="5"/>
        <v>1</v>
      </c>
    </row>
    <row r="121" spans="1:17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  <c r="O121">
        <f t="shared" si="3"/>
        <v>0</v>
      </c>
      <c r="P121">
        <f t="shared" si="4"/>
        <v>0</v>
      </c>
      <c r="Q121">
        <f t="shared" si="5"/>
        <v>1</v>
      </c>
    </row>
    <row r="122" spans="1:17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  <c r="O122">
        <f t="shared" si="3"/>
        <v>1</v>
      </c>
      <c r="P122">
        <f t="shared" si="4"/>
        <v>0</v>
      </c>
      <c r="Q122">
        <f t="shared" si="5"/>
        <v>0</v>
      </c>
    </row>
    <row r="123" spans="1:17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  <c r="O123">
        <f t="shared" si="3"/>
        <v>1</v>
      </c>
      <c r="P123">
        <f t="shared" si="4"/>
        <v>0</v>
      </c>
      <c r="Q123">
        <f t="shared" si="5"/>
        <v>0</v>
      </c>
    </row>
    <row r="124" spans="1:17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  <c r="O124">
        <f t="shared" si="3"/>
        <v>1</v>
      </c>
      <c r="P124">
        <f t="shared" si="4"/>
        <v>0</v>
      </c>
      <c r="Q124">
        <f t="shared" si="5"/>
        <v>0</v>
      </c>
    </row>
    <row r="125" spans="1:17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  <c r="O125">
        <f t="shared" si="3"/>
        <v>1</v>
      </c>
      <c r="P125">
        <f t="shared" si="4"/>
        <v>0</v>
      </c>
      <c r="Q125">
        <f t="shared" si="5"/>
        <v>0</v>
      </c>
    </row>
    <row r="126" spans="1:17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  <c r="O126">
        <f t="shared" si="3"/>
        <v>0</v>
      </c>
      <c r="P126">
        <f t="shared" si="4"/>
        <v>1</v>
      </c>
      <c r="Q126">
        <f t="shared" si="5"/>
        <v>0</v>
      </c>
    </row>
    <row r="127" spans="1:17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  <c r="O127">
        <f t="shared" si="3"/>
        <v>0</v>
      </c>
      <c r="P127">
        <f t="shared" si="4"/>
        <v>1</v>
      </c>
      <c r="Q127">
        <f t="shared" si="5"/>
        <v>0</v>
      </c>
    </row>
    <row r="128" spans="1:17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  <c r="O128">
        <f t="shared" si="3"/>
        <v>0</v>
      </c>
      <c r="P128">
        <f t="shared" si="4"/>
        <v>1</v>
      </c>
      <c r="Q128">
        <f t="shared" si="5"/>
        <v>0</v>
      </c>
    </row>
    <row r="129" spans="1:17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  <c r="O129">
        <f t="shared" si="3"/>
        <v>0</v>
      </c>
      <c r="P129">
        <f t="shared" si="4"/>
        <v>1</v>
      </c>
      <c r="Q129">
        <f t="shared" si="5"/>
        <v>0</v>
      </c>
    </row>
    <row r="130" spans="1:17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  <c r="O130">
        <f t="shared" si="3"/>
        <v>0</v>
      </c>
      <c r="P130">
        <f t="shared" si="4"/>
        <v>0</v>
      </c>
      <c r="Q130">
        <f t="shared" si="5"/>
        <v>0</v>
      </c>
    </row>
    <row r="131" spans="1:17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  <c r="O131">
        <f t="shared" ref="O131:O194" si="6">IF(C131="North",1,0)</f>
        <v>0</v>
      </c>
      <c r="P131">
        <f t="shared" ref="P131:P194" si="7">IF(C131="South",1,0)</f>
        <v>0</v>
      </c>
      <c r="Q131">
        <f t="shared" ref="Q131:Q194" si="8">IF(C131="West",1,0)</f>
        <v>0</v>
      </c>
    </row>
    <row r="132" spans="1:17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  <c r="O132">
        <f t="shared" si="6"/>
        <v>0</v>
      </c>
      <c r="P132">
        <f t="shared" si="7"/>
        <v>0</v>
      </c>
      <c r="Q132">
        <f t="shared" si="8"/>
        <v>0</v>
      </c>
    </row>
    <row r="133" spans="1:17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  <c r="O133">
        <f t="shared" si="6"/>
        <v>0</v>
      </c>
      <c r="P133">
        <f t="shared" si="7"/>
        <v>0</v>
      </c>
      <c r="Q133">
        <f t="shared" si="8"/>
        <v>0</v>
      </c>
    </row>
    <row r="134" spans="1:17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  <c r="O134">
        <f t="shared" si="6"/>
        <v>1</v>
      </c>
      <c r="P134">
        <f t="shared" si="7"/>
        <v>0</v>
      </c>
      <c r="Q134">
        <f t="shared" si="8"/>
        <v>0</v>
      </c>
    </row>
    <row r="135" spans="1:17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L135">
        <v>3.92</v>
      </c>
      <c r="M135">
        <v>400831.65</v>
      </c>
      <c r="N135">
        <v>70979.31</v>
      </c>
      <c r="O135">
        <f t="shared" si="6"/>
        <v>1</v>
      </c>
      <c r="P135">
        <f t="shared" si="7"/>
        <v>0</v>
      </c>
      <c r="Q135">
        <f t="shared" si="8"/>
        <v>0</v>
      </c>
    </row>
    <row r="136" spans="1:17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  <c r="O136">
        <f t="shared" si="6"/>
        <v>1</v>
      </c>
      <c r="P136">
        <f t="shared" si="7"/>
        <v>0</v>
      </c>
      <c r="Q136">
        <f t="shared" si="8"/>
        <v>0</v>
      </c>
    </row>
    <row r="137" spans="1:17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  <c r="O137">
        <f t="shared" si="6"/>
        <v>1</v>
      </c>
      <c r="P137">
        <f t="shared" si="7"/>
        <v>0</v>
      </c>
      <c r="Q137">
        <f t="shared" si="8"/>
        <v>0</v>
      </c>
    </row>
    <row r="138" spans="1:17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L138">
        <v>3.92</v>
      </c>
      <c r="M138">
        <v>633638.03</v>
      </c>
      <c r="N138">
        <v>99402.01</v>
      </c>
      <c r="O138">
        <f t="shared" si="6"/>
        <v>0</v>
      </c>
      <c r="P138">
        <f t="shared" si="7"/>
        <v>1</v>
      </c>
      <c r="Q138">
        <f t="shared" si="8"/>
        <v>0</v>
      </c>
    </row>
    <row r="139" spans="1:17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  <c r="O139">
        <f t="shared" si="6"/>
        <v>0</v>
      </c>
      <c r="P139">
        <f t="shared" si="7"/>
        <v>1</v>
      </c>
      <c r="Q139">
        <f t="shared" si="8"/>
        <v>0</v>
      </c>
    </row>
    <row r="140" spans="1:17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  <c r="O140">
        <f t="shared" si="6"/>
        <v>0</v>
      </c>
      <c r="P140">
        <f t="shared" si="7"/>
        <v>1</v>
      </c>
      <c r="Q140">
        <f t="shared" si="8"/>
        <v>0</v>
      </c>
    </row>
    <row r="141" spans="1:17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  <c r="O141">
        <f t="shared" si="6"/>
        <v>0</v>
      </c>
      <c r="P141">
        <f t="shared" si="7"/>
        <v>1</v>
      </c>
      <c r="Q141">
        <f t="shared" si="8"/>
        <v>0</v>
      </c>
    </row>
    <row r="142" spans="1:17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  <c r="O142">
        <f t="shared" si="6"/>
        <v>0</v>
      </c>
      <c r="P142">
        <f t="shared" si="7"/>
        <v>0</v>
      </c>
      <c r="Q142">
        <f t="shared" si="8"/>
        <v>1</v>
      </c>
    </row>
    <row r="143" spans="1:17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  <c r="O143">
        <f t="shared" si="6"/>
        <v>0</v>
      </c>
      <c r="P143">
        <f t="shared" si="7"/>
        <v>0</v>
      </c>
      <c r="Q143">
        <f t="shared" si="8"/>
        <v>1</v>
      </c>
    </row>
    <row r="144" spans="1:17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  <c r="O144">
        <f t="shared" si="6"/>
        <v>0</v>
      </c>
      <c r="P144">
        <f t="shared" si="7"/>
        <v>0</v>
      </c>
      <c r="Q144">
        <f t="shared" si="8"/>
        <v>1</v>
      </c>
    </row>
    <row r="145" spans="1:17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  <c r="O145">
        <f t="shared" si="6"/>
        <v>0</v>
      </c>
      <c r="P145">
        <f t="shared" si="7"/>
        <v>0</v>
      </c>
      <c r="Q145">
        <f t="shared" si="8"/>
        <v>1</v>
      </c>
    </row>
    <row r="146" spans="1:17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  <c r="O146">
        <f t="shared" si="6"/>
        <v>1</v>
      </c>
      <c r="P146">
        <f t="shared" si="7"/>
        <v>0</v>
      </c>
      <c r="Q146">
        <f t="shared" si="8"/>
        <v>0</v>
      </c>
    </row>
    <row r="147" spans="1:17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  <c r="O147">
        <f t="shared" si="6"/>
        <v>1</v>
      </c>
      <c r="P147">
        <f t="shared" si="7"/>
        <v>0</v>
      </c>
      <c r="Q147">
        <f t="shared" si="8"/>
        <v>0</v>
      </c>
    </row>
    <row r="148" spans="1:17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  <c r="O148">
        <f t="shared" si="6"/>
        <v>1</v>
      </c>
      <c r="P148">
        <f t="shared" si="7"/>
        <v>0</v>
      </c>
      <c r="Q148">
        <f t="shared" si="8"/>
        <v>0</v>
      </c>
    </row>
    <row r="149" spans="1:17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  <c r="O149">
        <f t="shared" si="6"/>
        <v>1</v>
      </c>
      <c r="P149">
        <f t="shared" si="7"/>
        <v>0</v>
      </c>
      <c r="Q149">
        <f t="shared" si="8"/>
        <v>0</v>
      </c>
    </row>
    <row r="150" spans="1:17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  <c r="O150">
        <f t="shared" si="6"/>
        <v>0</v>
      </c>
      <c r="P150">
        <f t="shared" si="7"/>
        <v>1</v>
      </c>
      <c r="Q150">
        <f t="shared" si="8"/>
        <v>0</v>
      </c>
    </row>
    <row r="151" spans="1:17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  <c r="O151">
        <f t="shared" si="6"/>
        <v>0</v>
      </c>
      <c r="P151">
        <f t="shared" si="7"/>
        <v>1</v>
      </c>
      <c r="Q151">
        <f t="shared" si="8"/>
        <v>0</v>
      </c>
    </row>
    <row r="152" spans="1:17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  <c r="O152">
        <f t="shared" si="6"/>
        <v>0</v>
      </c>
      <c r="P152">
        <f t="shared" si="7"/>
        <v>1</v>
      </c>
      <c r="Q152">
        <f t="shared" si="8"/>
        <v>0</v>
      </c>
    </row>
    <row r="153" spans="1:17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  <c r="O153">
        <f t="shared" si="6"/>
        <v>0</v>
      </c>
      <c r="P153">
        <f t="shared" si="7"/>
        <v>1</v>
      </c>
      <c r="Q153">
        <f t="shared" si="8"/>
        <v>0</v>
      </c>
    </row>
    <row r="154" spans="1:17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  <c r="O154">
        <f t="shared" si="6"/>
        <v>0</v>
      </c>
      <c r="P154">
        <f t="shared" si="7"/>
        <v>0</v>
      </c>
      <c r="Q154">
        <f t="shared" si="8"/>
        <v>0</v>
      </c>
    </row>
    <row r="155" spans="1:17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  <c r="O155">
        <f t="shared" si="6"/>
        <v>0</v>
      </c>
      <c r="P155">
        <f t="shared" si="7"/>
        <v>0</v>
      </c>
      <c r="Q155">
        <f t="shared" si="8"/>
        <v>0</v>
      </c>
    </row>
    <row r="156" spans="1:17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  <c r="O156">
        <f t="shared" si="6"/>
        <v>0</v>
      </c>
      <c r="P156">
        <f t="shared" si="7"/>
        <v>0</v>
      </c>
      <c r="Q156">
        <f t="shared" si="8"/>
        <v>0</v>
      </c>
    </row>
    <row r="157" spans="1:17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  <c r="O157">
        <f t="shared" si="6"/>
        <v>0</v>
      </c>
      <c r="P157">
        <f t="shared" si="7"/>
        <v>0</v>
      </c>
      <c r="Q157">
        <f t="shared" si="8"/>
        <v>0</v>
      </c>
    </row>
    <row r="158" spans="1:17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  <c r="O158">
        <f t="shared" si="6"/>
        <v>1</v>
      </c>
      <c r="P158">
        <f t="shared" si="7"/>
        <v>0</v>
      </c>
      <c r="Q158">
        <f t="shared" si="8"/>
        <v>0</v>
      </c>
    </row>
    <row r="159" spans="1:17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  <c r="O159">
        <f t="shared" si="6"/>
        <v>1</v>
      </c>
      <c r="P159">
        <f t="shared" si="7"/>
        <v>0</v>
      </c>
      <c r="Q159">
        <f t="shared" si="8"/>
        <v>0</v>
      </c>
    </row>
    <row r="160" spans="1:17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  <c r="O160">
        <f t="shared" si="6"/>
        <v>1</v>
      </c>
      <c r="P160">
        <f t="shared" si="7"/>
        <v>0</v>
      </c>
      <c r="Q160">
        <f t="shared" si="8"/>
        <v>0</v>
      </c>
    </row>
    <row r="161" spans="1:17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  <c r="O161">
        <f t="shared" si="6"/>
        <v>1</v>
      </c>
      <c r="P161">
        <f t="shared" si="7"/>
        <v>0</v>
      </c>
      <c r="Q161">
        <f t="shared" si="8"/>
        <v>0</v>
      </c>
    </row>
    <row r="162" spans="1:17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  <c r="O162">
        <f t="shared" si="6"/>
        <v>0</v>
      </c>
      <c r="P162">
        <f t="shared" si="7"/>
        <v>1</v>
      </c>
      <c r="Q162">
        <f t="shared" si="8"/>
        <v>0</v>
      </c>
    </row>
    <row r="163" spans="1:17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  <c r="O163">
        <f t="shared" si="6"/>
        <v>0</v>
      </c>
      <c r="P163">
        <f t="shared" si="7"/>
        <v>1</v>
      </c>
      <c r="Q163">
        <f t="shared" si="8"/>
        <v>0</v>
      </c>
    </row>
    <row r="164" spans="1:17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J164">
        <v>4.45</v>
      </c>
      <c r="K164">
        <v>0</v>
      </c>
      <c r="L164">
        <v>4.2</v>
      </c>
      <c r="M164">
        <v>677096.71</v>
      </c>
      <c r="N164">
        <v>97174.11</v>
      </c>
      <c r="O164">
        <f t="shared" si="6"/>
        <v>0</v>
      </c>
      <c r="P164">
        <f t="shared" si="7"/>
        <v>1</v>
      </c>
      <c r="Q164">
        <f t="shared" si="8"/>
        <v>0</v>
      </c>
    </row>
    <row r="165" spans="1:17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  <c r="O165">
        <f t="shared" si="6"/>
        <v>0</v>
      </c>
      <c r="P165">
        <f t="shared" si="7"/>
        <v>1</v>
      </c>
      <c r="Q165">
        <f t="shared" si="8"/>
        <v>0</v>
      </c>
    </row>
    <row r="166" spans="1:17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  <c r="O166">
        <f t="shared" si="6"/>
        <v>1</v>
      </c>
      <c r="P166">
        <f t="shared" si="7"/>
        <v>0</v>
      </c>
      <c r="Q166">
        <f t="shared" si="8"/>
        <v>0</v>
      </c>
    </row>
    <row r="167" spans="1:17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  <c r="O167">
        <f t="shared" si="6"/>
        <v>1</v>
      </c>
      <c r="P167">
        <f t="shared" si="7"/>
        <v>0</v>
      </c>
      <c r="Q167">
        <f t="shared" si="8"/>
        <v>0</v>
      </c>
    </row>
    <row r="168" spans="1:17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  <c r="O168">
        <f t="shared" si="6"/>
        <v>1</v>
      </c>
      <c r="P168">
        <f t="shared" si="7"/>
        <v>0</v>
      </c>
      <c r="Q168">
        <f t="shared" si="8"/>
        <v>0</v>
      </c>
    </row>
    <row r="169" spans="1:17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  <c r="O169">
        <f t="shared" si="6"/>
        <v>1</v>
      </c>
      <c r="P169">
        <f t="shared" si="7"/>
        <v>0</v>
      </c>
      <c r="Q169">
        <f t="shared" si="8"/>
        <v>0</v>
      </c>
    </row>
    <row r="170" spans="1:17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  <c r="O170">
        <f t="shared" si="6"/>
        <v>0</v>
      </c>
      <c r="P170">
        <f t="shared" si="7"/>
        <v>0</v>
      </c>
      <c r="Q170">
        <f t="shared" si="8"/>
        <v>0</v>
      </c>
    </row>
    <row r="171" spans="1:17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  <c r="O171">
        <f t="shared" si="6"/>
        <v>0</v>
      </c>
      <c r="P171">
        <f t="shared" si="7"/>
        <v>0</v>
      </c>
      <c r="Q171">
        <f t="shared" si="8"/>
        <v>0</v>
      </c>
    </row>
    <row r="172" spans="1:17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  <c r="O172">
        <f t="shared" si="6"/>
        <v>0</v>
      </c>
      <c r="P172">
        <f t="shared" si="7"/>
        <v>0</v>
      </c>
      <c r="Q172">
        <f t="shared" si="8"/>
        <v>0</v>
      </c>
    </row>
    <row r="173" spans="1:17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  <c r="O173">
        <f t="shared" si="6"/>
        <v>0</v>
      </c>
      <c r="P173">
        <f t="shared" si="7"/>
        <v>0</v>
      </c>
      <c r="Q173">
        <f t="shared" si="8"/>
        <v>0</v>
      </c>
    </row>
    <row r="174" spans="1:17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  <c r="O174">
        <f t="shared" si="6"/>
        <v>0</v>
      </c>
      <c r="P174">
        <f t="shared" si="7"/>
        <v>0</v>
      </c>
      <c r="Q174">
        <f t="shared" si="8"/>
        <v>0</v>
      </c>
    </row>
    <row r="175" spans="1:17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  <c r="O175">
        <f t="shared" si="6"/>
        <v>0</v>
      </c>
      <c r="P175">
        <f t="shared" si="7"/>
        <v>0</v>
      </c>
      <c r="Q175">
        <f t="shared" si="8"/>
        <v>0</v>
      </c>
    </row>
    <row r="176" spans="1:17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  <c r="O176">
        <f t="shared" si="6"/>
        <v>0</v>
      </c>
      <c r="P176">
        <f t="shared" si="7"/>
        <v>0</v>
      </c>
      <c r="Q176">
        <f t="shared" si="8"/>
        <v>0</v>
      </c>
    </row>
    <row r="177" spans="1:17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  <c r="O177">
        <f t="shared" si="6"/>
        <v>0</v>
      </c>
      <c r="P177">
        <f t="shared" si="7"/>
        <v>0</v>
      </c>
      <c r="Q177">
        <f t="shared" si="8"/>
        <v>0</v>
      </c>
    </row>
    <row r="178" spans="1:17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  <c r="O178">
        <f t="shared" si="6"/>
        <v>0</v>
      </c>
      <c r="P178">
        <f t="shared" si="7"/>
        <v>0</v>
      </c>
      <c r="Q178">
        <f t="shared" si="8"/>
        <v>1</v>
      </c>
    </row>
    <row r="179" spans="1:17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  <c r="O179">
        <f t="shared" si="6"/>
        <v>0</v>
      </c>
      <c r="P179">
        <f t="shared" si="7"/>
        <v>0</v>
      </c>
      <c r="Q179">
        <f t="shared" si="8"/>
        <v>1</v>
      </c>
    </row>
    <row r="180" spans="1:17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  <c r="O180">
        <f t="shared" si="6"/>
        <v>0</v>
      </c>
      <c r="P180">
        <f t="shared" si="7"/>
        <v>0</v>
      </c>
      <c r="Q180">
        <f t="shared" si="8"/>
        <v>1</v>
      </c>
    </row>
    <row r="181" spans="1:17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  <c r="O181">
        <f t="shared" si="6"/>
        <v>0</v>
      </c>
      <c r="P181">
        <f t="shared" si="7"/>
        <v>0</v>
      </c>
      <c r="Q181">
        <f t="shared" si="8"/>
        <v>1</v>
      </c>
    </row>
    <row r="182" spans="1:17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  <c r="O182">
        <f t="shared" si="6"/>
        <v>0</v>
      </c>
      <c r="P182">
        <f t="shared" si="7"/>
        <v>0</v>
      </c>
      <c r="Q182">
        <f t="shared" si="8"/>
        <v>1</v>
      </c>
    </row>
    <row r="183" spans="1:17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  <c r="O183">
        <f t="shared" si="6"/>
        <v>0</v>
      </c>
      <c r="P183">
        <f t="shared" si="7"/>
        <v>0</v>
      </c>
      <c r="Q183">
        <f t="shared" si="8"/>
        <v>1</v>
      </c>
    </row>
    <row r="184" spans="1:17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  <c r="O184">
        <f t="shared" si="6"/>
        <v>0</v>
      </c>
      <c r="P184">
        <f t="shared" si="7"/>
        <v>0</v>
      </c>
      <c r="Q184">
        <f t="shared" si="8"/>
        <v>1</v>
      </c>
    </row>
    <row r="185" spans="1:17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  <c r="O185">
        <f t="shared" si="6"/>
        <v>0</v>
      </c>
      <c r="P185">
        <f t="shared" si="7"/>
        <v>0</v>
      </c>
      <c r="Q185">
        <f t="shared" si="8"/>
        <v>1</v>
      </c>
    </row>
    <row r="186" spans="1:17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  <c r="O186">
        <f t="shared" si="6"/>
        <v>1</v>
      </c>
      <c r="P186">
        <f t="shared" si="7"/>
        <v>0</v>
      </c>
      <c r="Q186">
        <f t="shared" si="8"/>
        <v>0</v>
      </c>
    </row>
    <row r="187" spans="1:17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  <c r="O187">
        <f t="shared" si="6"/>
        <v>1</v>
      </c>
      <c r="P187">
        <f t="shared" si="7"/>
        <v>0</v>
      </c>
      <c r="Q187">
        <f t="shared" si="8"/>
        <v>0</v>
      </c>
    </row>
    <row r="188" spans="1:17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  <c r="O188">
        <f t="shared" si="6"/>
        <v>1</v>
      </c>
      <c r="P188">
        <f t="shared" si="7"/>
        <v>0</v>
      </c>
      <c r="Q188">
        <f t="shared" si="8"/>
        <v>0</v>
      </c>
    </row>
    <row r="189" spans="1:17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  <c r="O189">
        <f t="shared" si="6"/>
        <v>1</v>
      </c>
      <c r="P189">
        <f t="shared" si="7"/>
        <v>0</v>
      </c>
      <c r="Q189">
        <f t="shared" si="8"/>
        <v>0</v>
      </c>
    </row>
    <row r="190" spans="1:17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  <c r="O190">
        <f t="shared" si="6"/>
        <v>0</v>
      </c>
      <c r="P190">
        <f t="shared" si="7"/>
        <v>0</v>
      </c>
      <c r="Q190">
        <f t="shared" si="8"/>
        <v>0</v>
      </c>
    </row>
    <row r="191" spans="1:17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  <c r="O191">
        <f t="shared" si="6"/>
        <v>0</v>
      </c>
      <c r="P191">
        <f t="shared" si="7"/>
        <v>0</v>
      </c>
      <c r="Q191">
        <f t="shared" si="8"/>
        <v>0</v>
      </c>
    </row>
    <row r="192" spans="1:17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  <c r="O192">
        <f t="shared" si="6"/>
        <v>0</v>
      </c>
      <c r="P192">
        <f t="shared" si="7"/>
        <v>0</v>
      </c>
      <c r="Q192">
        <f t="shared" si="8"/>
        <v>0</v>
      </c>
    </row>
    <row r="193" spans="1:17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  <c r="O193">
        <f t="shared" si="6"/>
        <v>0</v>
      </c>
      <c r="P193">
        <f t="shared" si="7"/>
        <v>0</v>
      </c>
      <c r="Q193">
        <f t="shared" si="8"/>
        <v>0</v>
      </c>
    </row>
    <row r="194" spans="1:17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  <c r="O194">
        <f t="shared" si="6"/>
        <v>0</v>
      </c>
      <c r="P194">
        <f t="shared" si="7"/>
        <v>0</v>
      </c>
      <c r="Q194">
        <f t="shared" si="8"/>
        <v>1</v>
      </c>
    </row>
    <row r="195" spans="1:17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  <c r="O195">
        <f t="shared" ref="O195:O258" si="9">IF(C195="North",1,0)</f>
        <v>0</v>
      </c>
      <c r="P195">
        <f t="shared" ref="P195:P258" si="10">IF(C195="South",1,0)</f>
        <v>0</v>
      </c>
      <c r="Q195">
        <f t="shared" ref="Q195:Q258" si="11">IF(C195="West",1,0)</f>
        <v>1</v>
      </c>
    </row>
    <row r="196" spans="1:17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  <c r="O196">
        <f t="shared" si="9"/>
        <v>0</v>
      </c>
      <c r="P196">
        <f t="shared" si="10"/>
        <v>0</v>
      </c>
      <c r="Q196">
        <f t="shared" si="11"/>
        <v>1</v>
      </c>
    </row>
    <row r="197" spans="1:17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L197">
        <v>3.92</v>
      </c>
      <c r="M197">
        <v>449465.06</v>
      </c>
      <c r="N197">
        <v>65694.78</v>
      </c>
      <c r="O197">
        <f t="shared" si="9"/>
        <v>0</v>
      </c>
      <c r="P197">
        <f t="shared" si="10"/>
        <v>0</v>
      </c>
      <c r="Q197">
        <f t="shared" si="11"/>
        <v>1</v>
      </c>
    </row>
    <row r="198" spans="1:17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  <c r="O198">
        <f t="shared" si="9"/>
        <v>1</v>
      </c>
      <c r="P198">
        <f t="shared" si="10"/>
        <v>0</v>
      </c>
      <c r="Q198">
        <f t="shared" si="11"/>
        <v>0</v>
      </c>
    </row>
    <row r="199" spans="1:17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  <c r="O199">
        <f t="shared" si="9"/>
        <v>1</v>
      </c>
      <c r="P199">
        <f t="shared" si="10"/>
        <v>0</v>
      </c>
      <c r="Q199">
        <f t="shared" si="11"/>
        <v>0</v>
      </c>
    </row>
    <row r="200" spans="1:17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  <c r="O200">
        <f t="shared" si="9"/>
        <v>1</v>
      </c>
      <c r="P200">
        <f t="shared" si="10"/>
        <v>0</v>
      </c>
      <c r="Q200">
        <f t="shared" si="11"/>
        <v>0</v>
      </c>
    </row>
    <row r="201" spans="1:17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  <c r="O201">
        <f t="shared" si="9"/>
        <v>1</v>
      </c>
      <c r="P201">
        <f t="shared" si="10"/>
        <v>0</v>
      </c>
      <c r="Q201">
        <f t="shared" si="11"/>
        <v>0</v>
      </c>
    </row>
    <row r="202" spans="1:17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  <c r="O202">
        <f t="shared" si="9"/>
        <v>0</v>
      </c>
      <c r="P202">
        <f t="shared" si="10"/>
        <v>0</v>
      </c>
      <c r="Q202">
        <f t="shared" si="11"/>
        <v>0</v>
      </c>
    </row>
    <row r="203" spans="1:17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  <c r="O203">
        <f t="shared" si="9"/>
        <v>0</v>
      </c>
      <c r="P203">
        <f t="shared" si="10"/>
        <v>0</v>
      </c>
      <c r="Q203">
        <f t="shared" si="11"/>
        <v>0</v>
      </c>
    </row>
    <row r="204" spans="1:17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  <c r="O204">
        <f t="shared" si="9"/>
        <v>0</v>
      </c>
      <c r="P204">
        <f t="shared" si="10"/>
        <v>0</v>
      </c>
      <c r="Q204">
        <f t="shared" si="11"/>
        <v>0</v>
      </c>
    </row>
    <row r="205" spans="1:17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  <c r="O205">
        <f t="shared" si="9"/>
        <v>0</v>
      </c>
      <c r="P205">
        <f t="shared" si="10"/>
        <v>0</v>
      </c>
      <c r="Q205">
        <f t="shared" si="11"/>
        <v>0</v>
      </c>
    </row>
    <row r="206" spans="1:17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  <c r="O206">
        <f t="shared" si="9"/>
        <v>0</v>
      </c>
      <c r="P206">
        <f t="shared" si="10"/>
        <v>0</v>
      </c>
      <c r="Q206">
        <f t="shared" si="11"/>
        <v>0</v>
      </c>
    </row>
    <row r="207" spans="1:17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  <c r="O207">
        <f t="shared" si="9"/>
        <v>0</v>
      </c>
      <c r="P207">
        <f t="shared" si="10"/>
        <v>0</v>
      </c>
      <c r="Q207">
        <f t="shared" si="11"/>
        <v>0</v>
      </c>
    </row>
    <row r="208" spans="1:17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  <c r="O208">
        <f t="shared" si="9"/>
        <v>0</v>
      </c>
      <c r="P208">
        <f t="shared" si="10"/>
        <v>0</v>
      </c>
      <c r="Q208">
        <f t="shared" si="11"/>
        <v>0</v>
      </c>
    </row>
    <row r="209" spans="1:17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  <c r="O209">
        <f t="shared" si="9"/>
        <v>0</v>
      </c>
      <c r="P209">
        <f t="shared" si="10"/>
        <v>0</v>
      </c>
      <c r="Q209">
        <f t="shared" si="11"/>
        <v>0</v>
      </c>
    </row>
    <row r="210" spans="1:17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  <c r="O210">
        <f t="shared" si="9"/>
        <v>0</v>
      </c>
      <c r="P210">
        <f t="shared" si="10"/>
        <v>0</v>
      </c>
      <c r="Q210">
        <f t="shared" si="11"/>
        <v>0</v>
      </c>
    </row>
    <row r="211" spans="1:17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  <c r="O211">
        <f t="shared" si="9"/>
        <v>0</v>
      </c>
      <c r="P211">
        <f t="shared" si="10"/>
        <v>0</v>
      </c>
      <c r="Q211">
        <f t="shared" si="11"/>
        <v>0</v>
      </c>
    </row>
    <row r="212" spans="1:17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  <c r="O212">
        <f t="shared" si="9"/>
        <v>0</v>
      </c>
      <c r="P212">
        <f t="shared" si="10"/>
        <v>0</v>
      </c>
      <c r="Q212">
        <f t="shared" si="11"/>
        <v>0</v>
      </c>
    </row>
    <row r="213" spans="1:17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  <c r="O213">
        <f t="shared" si="9"/>
        <v>0</v>
      </c>
      <c r="P213">
        <f t="shared" si="10"/>
        <v>0</v>
      </c>
      <c r="Q213">
        <f t="shared" si="11"/>
        <v>0</v>
      </c>
    </row>
    <row r="214" spans="1:17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  <c r="O214">
        <f t="shared" si="9"/>
        <v>0</v>
      </c>
      <c r="P214">
        <f t="shared" si="10"/>
        <v>0</v>
      </c>
      <c r="Q214">
        <f t="shared" si="11"/>
        <v>1</v>
      </c>
    </row>
    <row r="215" spans="1:17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  <c r="O215">
        <f t="shared" si="9"/>
        <v>0</v>
      </c>
      <c r="P215">
        <f t="shared" si="10"/>
        <v>0</v>
      </c>
      <c r="Q215">
        <f t="shared" si="11"/>
        <v>1</v>
      </c>
    </row>
    <row r="216" spans="1:17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  <c r="O216">
        <f t="shared" si="9"/>
        <v>0</v>
      </c>
      <c r="P216">
        <f t="shared" si="10"/>
        <v>0</v>
      </c>
      <c r="Q216">
        <f t="shared" si="11"/>
        <v>1</v>
      </c>
    </row>
    <row r="217" spans="1:17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  <c r="O217">
        <f t="shared" si="9"/>
        <v>0</v>
      </c>
      <c r="P217">
        <f t="shared" si="10"/>
        <v>0</v>
      </c>
      <c r="Q217">
        <f t="shared" si="11"/>
        <v>1</v>
      </c>
    </row>
    <row r="218" spans="1:17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  <c r="O218">
        <f t="shared" si="9"/>
        <v>1</v>
      </c>
      <c r="P218">
        <f t="shared" si="10"/>
        <v>0</v>
      </c>
      <c r="Q218">
        <f t="shared" si="11"/>
        <v>0</v>
      </c>
    </row>
    <row r="219" spans="1:17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  <c r="O219">
        <f t="shared" si="9"/>
        <v>1</v>
      </c>
      <c r="P219">
        <f t="shared" si="10"/>
        <v>0</v>
      </c>
      <c r="Q219">
        <f t="shared" si="11"/>
        <v>0</v>
      </c>
    </row>
    <row r="220" spans="1:17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  <c r="O220">
        <f t="shared" si="9"/>
        <v>1</v>
      </c>
      <c r="P220">
        <f t="shared" si="10"/>
        <v>0</v>
      </c>
      <c r="Q220">
        <f t="shared" si="11"/>
        <v>0</v>
      </c>
    </row>
    <row r="221" spans="1:17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  <c r="O221">
        <f t="shared" si="9"/>
        <v>1</v>
      </c>
      <c r="P221">
        <f t="shared" si="10"/>
        <v>0</v>
      </c>
      <c r="Q221">
        <f t="shared" si="11"/>
        <v>0</v>
      </c>
    </row>
    <row r="222" spans="1:17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  <c r="O222">
        <f t="shared" si="9"/>
        <v>0</v>
      </c>
      <c r="P222">
        <f t="shared" si="10"/>
        <v>0</v>
      </c>
      <c r="Q222">
        <f t="shared" si="11"/>
        <v>0</v>
      </c>
    </row>
    <row r="223" spans="1:17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  <c r="O223">
        <f t="shared" si="9"/>
        <v>0</v>
      </c>
      <c r="P223">
        <f t="shared" si="10"/>
        <v>0</v>
      </c>
      <c r="Q223">
        <f t="shared" si="11"/>
        <v>0</v>
      </c>
    </row>
    <row r="224" spans="1:17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  <c r="O224">
        <f t="shared" si="9"/>
        <v>0</v>
      </c>
      <c r="P224">
        <f t="shared" si="10"/>
        <v>0</v>
      </c>
      <c r="Q224">
        <f t="shared" si="11"/>
        <v>0</v>
      </c>
    </row>
    <row r="225" spans="1:17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  <c r="O225">
        <f t="shared" si="9"/>
        <v>0</v>
      </c>
      <c r="P225">
        <f t="shared" si="10"/>
        <v>0</v>
      </c>
      <c r="Q225">
        <f t="shared" si="11"/>
        <v>0</v>
      </c>
    </row>
    <row r="226" spans="1:17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  <c r="O226">
        <f t="shared" si="9"/>
        <v>0</v>
      </c>
      <c r="P226">
        <f t="shared" si="10"/>
        <v>0</v>
      </c>
      <c r="Q226">
        <f t="shared" si="11"/>
        <v>0</v>
      </c>
    </row>
    <row r="227" spans="1:17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  <c r="O227">
        <f t="shared" si="9"/>
        <v>0</v>
      </c>
      <c r="P227">
        <f t="shared" si="10"/>
        <v>0</v>
      </c>
      <c r="Q227">
        <f t="shared" si="11"/>
        <v>0</v>
      </c>
    </row>
    <row r="228" spans="1:17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  <c r="O228">
        <f t="shared" si="9"/>
        <v>0</v>
      </c>
      <c r="P228">
        <f t="shared" si="10"/>
        <v>0</v>
      </c>
      <c r="Q228">
        <f t="shared" si="11"/>
        <v>0</v>
      </c>
    </row>
    <row r="229" spans="1:17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L229">
        <v>3.92</v>
      </c>
      <c r="M229">
        <v>529598.93999999994</v>
      </c>
      <c r="N229">
        <v>84334.33</v>
      </c>
      <c r="O229">
        <f t="shared" si="9"/>
        <v>0</v>
      </c>
      <c r="P229">
        <f t="shared" si="10"/>
        <v>0</v>
      </c>
      <c r="Q229">
        <f t="shared" si="11"/>
        <v>0</v>
      </c>
    </row>
    <row r="230" spans="1:17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  <c r="O230">
        <f t="shared" si="9"/>
        <v>0</v>
      </c>
      <c r="P230">
        <f t="shared" si="10"/>
        <v>0</v>
      </c>
      <c r="Q230">
        <f t="shared" si="11"/>
        <v>0</v>
      </c>
    </row>
    <row r="231" spans="1:17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  <c r="O231">
        <f t="shared" si="9"/>
        <v>0</v>
      </c>
      <c r="P231">
        <f t="shared" si="10"/>
        <v>0</v>
      </c>
      <c r="Q231">
        <f t="shared" si="11"/>
        <v>0</v>
      </c>
    </row>
    <row r="232" spans="1:17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  <c r="O232">
        <f t="shared" si="9"/>
        <v>0</v>
      </c>
      <c r="P232">
        <f t="shared" si="10"/>
        <v>0</v>
      </c>
      <c r="Q232">
        <f t="shared" si="11"/>
        <v>0</v>
      </c>
    </row>
    <row r="233" spans="1:17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J233">
        <v>4.45</v>
      </c>
      <c r="K233">
        <v>0</v>
      </c>
      <c r="L233">
        <v>3.7</v>
      </c>
      <c r="M233">
        <v>647512.85</v>
      </c>
      <c r="N233">
        <v>153835.57</v>
      </c>
      <c r="O233">
        <f t="shared" si="9"/>
        <v>0</v>
      </c>
      <c r="P233">
        <f t="shared" si="10"/>
        <v>0</v>
      </c>
      <c r="Q233">
        <f t="shared" si="11"/>
        <v>0</v>
      </c>
    </row>
    <row r="234" spans="1:17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  <c r="O234">
        <f t="shared" si="9"/>
        <v>0</v>
      </c>
      <c r="P234">
        <f t="shared" si="10"/>
        <v>0</v>
      </c>
      <c r="Q234">
        <f t="shared" si="11"/>
        <v>1</v>
      </c>
    </row>
    <row r="235" spans="1:17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  <c r="O235">
        <f t="shared" si="9"/>
        <v>0</v>
      </c>
      <c r="P235">
        <f t="shared" si="10"/>
        <v>0</v>
      </c>
      <c r="Q235">
        <f t="shared" si="11"/>
        <v>1</v>
      </c>
    </row>
    <row r="236" spans="1:17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  <c r="O236">
        <f t="shared" si="9"/>
        <v>0</v>
      </c>
      <c r="P236">
        <f t="shared" si="10"/>
        <v>0</v>
      </c>
      <c r="Q236">
        <f t="shared" si="11"/>
        <v>1</v>
      </c>
    </row>
    <row r="237" spans="1:17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  <c r="O237">
        <f t="shared" si="9"/>
        <v>0</v>
      </c>
      <c r="P237">
        <f t="shared" si="10"/>
        <v>0</v>
      </c>
      <c r="Q237">
        <f t="shared" si="11"/>
        <v>1</v>
      </c>
    </row>
    <row r="238" spans="1:17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  <c r="O238">
        <f t="shared" si="9"/>
        <v>0</v>
      </c>
      <c r="P238">
        <f t="shared" si="10"/>
        <v>0</v>
      </c>
      <c r="Q238">
        <f t="shared" si="11"/>
        <v>1</v>
      </c>
    </row>
    <row r="239" spans="1:17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  <c r="O239">
        <f t="shared" si="9"/>
        <v>0</v>
      </c>
      <c r="P239">
        <f t="shared" si="10"/>
        <v>0</v>
      </c>
      <c r="Q239">
        <f t="shared" si="11"/>
        <v>1</v>
      </c>
    </row>
    <row r="240" spans="1:17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  <c r="O240">
        <f t="shared" si="9"/>
        <v>0</v>
      </c>
      <c r="P240">
        <f t="shared" si="10"/>
        <v>0</v>
      </c>
      <c r="Q240">
        <f t="shared" si="11"/>
        <v>1</v>
      </c>
    </row>
    <row r="241" spans="1:17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  <c r="O241">
        <f t="shared" si="9"/>
        <v>0</v>
      </c>
      <c r="P241">
        <f t="shared" si="10"/>
        <v>0</v>
      </c>
      <c r="Q241">
        <f t="shared" si="11"/>
        <v>1</v>
      </c>
    </row>
    <row r="242" spans="1:17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  <c r="O242">
        <f t="shared" si="9"/>
        <v>0</v>
      </c>
      <c r="P242">
        <f t="shared" si="10"/>
        <v>1</v>
      </c>
      <c r="Q242">
        <f t="shared" si="11"/>
        <v>0</v>
      </c>
    </row>
    <row r="243" spans="1:17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  <c r="O243">
        <f t="shared" si="9"/>
        <v>0</v>
      </c>
      <c r="P243">
        <f t="shared" si="10"/>
        <v>1</v>
      </c>
      <c r="Q243">
        <f t="shared" si="11"/>
        <v>0</v>
      </c>
    </row>
    <row r="244" spans="1:17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  <c r="O244">
        <f t="shared" si="9"/>
        <v>0</v>
      </c>
      <c r="P244">
        <f t="shared" si="10"/>
        <v>1</v>
      </c>
      <c r="Q244">
        <f t="shared" si="11"/>
        <v>0</v>
      </c>
    </row>
    <row r="245" spans="1:17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  <c r="O245">
        <f t="shared" si="9"/>
        <v>0</v>
      </c>
      <c r="P245">
        <f t="shared" si="10"/>
        <v>1</v>
      </c>
      <c r="Q245">
        <f t="shared" si="11"/>
        <v>0</v>
      </c>
    </row>
    <row r="246" spans="1:17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  <c r="O246">
        <f t="shared" si="9"/>
        <v>0</v>
      </c>
      <c r="P246">
        <f t="shared" si="10"/>
        <v>0</v>
      </c>
      <c r="Q246">
        <f t="shared" si="11"/>
        <v>0</v>
      </c>
    </row>
    <row r="247" spans="1:17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  <c r="O247">
        <f t="shared" si="9"/>
        <v>0</v>
      </c>
      <c r="P247">
        <f t="shared" si="10"/>
        <v>0</v>
      </c>
      <c r="Q247">
        <f t="shared" si="11"/>
        <v>0</v>
      </c>
    </row>
    <row r="248" spans="1:17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  <c r="O248">
        <f t="shared" si="9"/>
        <v>0</v>
      </c>
      <c r="P248">
        <f t="shared" si="10"/>
        <v>0</v>
      </c>
      <c r="Q248">
        <f t="shared" si="11"/>
        <v>0</v>
      </c>
    </row>
    <row r="249" spans="1:17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  <c r="O249">
        <f t="shared" si="9"/>
        <v>0</v>
      </c>
      <c r="P249">
        <f t="shared" si="10"/>
        <v>0</v>
      </c>
      <c r="Q249">
        <f t="shared" si="11"/>
        <v>0</v>
      </c>
    </row>
    <row r="250" spans="1:17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J250">
        <v>4.45</v>
      </c>
      <c r="K250">
        <v>0</v>
      </c>
      <c r="L250">
        <v>3.8</v>
      </c>
      <c r="M250">
        <v>606783.67000000004</v>
      </c>
      <c r="N250">
        <v>74515.87</v>
      </c>
      <c r="O250">
        <f t="shared" si="9"/>
        <v>1</v>
      </c>
      <c r="P250">
        <f t="shared" si="10"/>
        <v>0</v>
      </c>
      <c r="Q250">
        <f t="shared" si="11"/>
        <v>0</v>
      </c>
    </row>
    <row r="251" spans="1:17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  <c r="O251">
        <f t="shared" si="9"/>
        <v>1</v>
      </c>
      <c r="P251">
        <f t="shared" si="10"/>
        <v>0</v>
      </c>
      <c r="Q251">
        <f t="shared" si="11"/>
        <v>0</v>
      </c>
    </row>
    <row r="252" spans="1:17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  <c r="O252">
        <f t="shared" si="9"/>
        <v>1</v>
      </c>
      <c r="P252">
        <f t="shared" si="10"/>
        <v>0</v>
      </c>
      <c r="Q252">
        <f t="shared" si="11"/>
        <v>0</v>
      </c>
    </row>
    <row r="253" spans="1:17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  <c r="O253">
        <f t="shared" si="9"/>
        <v>1</v>
      </c>
      <c r="P253">
        <f t="shared" si="10"/>
        <v>0</v>
      </c>
      <c r="Q253">
        <f t="shared" si="11"/>
        <v>0</v>
      </c>
    </row>
    <row r="254" spans="1:17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  <c r="O254">
        <f t="shared" si="9"/>
        <v>0</v>
      </c>
      <c r="P254">
        <f t="shared" si="10"/>
        <v>1</v>
      </c>
      <c r="Q254">
        <f t="shared" si="11"/>
        <v>0</v>
      </c>
    </row>
    <row r="255" spans="1:17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  <c r="O255">
        <f t="shared" si="9"/>
        <v>0</v>
      </c>
      <c r="P255">
        <f t="shared" si="10"/>
        <v>1</v>
      </c>
      <c r="Q255">
        <f t="shared" si="11"/>
        <v>0</v>
      </c>
    </row>
    <row r="256" spans="1:17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  <c r="O256">
        <f t="shared" si="9"/>
        <v>0</v>
      </c>
      <c r="P256">
        <f t="shared" si="10"/>
        <v>1</v>
      </c>
      <c r="Q256">
        <f t="shared" si="11"/>
        <v>0</v>
      </c>
    </row>
    <row r="257" spans="1:17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  <c r="O257">
        <f t="shared" si="9"/>
        <v>0</v>
      </c>
      <c r="P257">
        <f t="shared" si="10"/>
        <v>1</v>
      </c>
      <c r="Q257">
        <f t="shared" si="11"/>
        <v>0</v>
      </c>
    </row>
    <row r="258" spans="1:17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  <c r="O258">
        <f t="shared" si="9"/>
        <v>0</v>
      </c>
      <c r="P258">
        <f t="shared" si="10"/>
        <v>1</v>
      </c>
      <c r="Q258">
        <f t="shared" si="11"/>
        <v>0</v>
      </c>
    </row>
    <row r="259" spans="1:17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  <c r="O259">
        <f t="shared" ref="O259:O321" si="12">IF(C259="North",1,0)</f>
        <v>0</v>
      </c>
      <c r="P259">
        <f t="shared" ref="P259:P321" si="13">IF(C259="South",1,0)</f>
        <v>1</v>
      </c>
      <c r="Q259">
        <f t="shared" ref="Q259:Q321" si="14">IF(C259="West",1,0)</f>
        <v>0</v>
      </c>
    </row>
    <row r="260" spans="1:17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  <c r="O260">
        <f t="shared" si="12"/>
        <v>0</v>
      </c>
      <c r="P260">
        <f t="shared" si="13"/>
        <v>1</v>
      </c>
      <c r="Q260">
        <f t="shared" si="14"/>
        <v>0</v>
      </c>
    </row>
    <row r="261" spans="1:17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  <c r="O261">
        <f t="shared" si="12"/>
        <v>0</v>
      </c>
      <c r="P261">
        <f t="shared" si="13"/>
        <v>1</v>
      </c>
      <c r="Q261">
        <f t="shared" si="14"/>
        <v>0</v>
      </c>
    </row>
    <row r="262" spans="1:17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  <c r="O262">
        <f t="shared" si="12"/>
        <v>0</v>
      </c>
      <c r="P262">
        <f t="shared" si="13"/>
        <v>0</v>
      </c>
      <c r="Q262">
        <f t="shared" si="14"/>
        <v>1</v>
      </c>
    </row>
    <row r="263" spans="1:17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J263">
        <v>4.45</v>
      </c>
      <c r="K263">
        <v>0</v>
      </c>
      <c r="L263">
        <v>4.2</v>
      </c>
      <c r="M263">
        <v>605751.32999999996</v>
      </c>
      <c r="N263">
        <v>60685.53</v>
      </c>
      <c r="O263">
        <f t="shared" si="12"/>
        <v>0</v>
      </c>
      <c r="P263">
        <f t="shared" si="13"/>
        <v>0</v>
      </c>
      <c r="Q263">
        <f t="shared" si="14"/>
        <v>1</v>
      </c>
    </row>
    <row r="264" spans="1:17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  <c r="O264">
        <f t="shared" si="12"/>
        <v>0</v>
      </c>
      <c r="P264">
        <f t="shared" si="13"/>
        <v>0</v>
      </c>
      <c r="Q264">
        <f t="shared" si="14"/>
        <v>1</v>
      </c>
    </row>
    <row r="265" spans="1:17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  <c r="O265">
        <f t="shared" si="12"/>
        <v>0</v>
      </c>
      <c r="P265">
        <f t="shared" si="13"/>
        <v>0</v>
      </c>
      <c r="Q265">
        <f t="shared" si="14"/>
        <v>1</v>
      </c>
    </row>
    <row r="266" spans="1:17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  <c r="O266">
        <f t="shared" si="12"/>
        <v>0</v>
      </c>
      <c r="P266">
        <f t="shared" si="13"/>
        <v>0</v>
      </c>
      <c r="Q266">
        <f t="shared" si="14"/>
        <v>0</v>
      </c>
    </row>
    <row r="267" spans="1:17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  <c r="O267">
        <f t="shared" si="12"/>
        <v>0</v>
      </c>
      <c r="P267">
        <f t="shared" si="13"/>
        <v>0</v>
      </c>
      <c r="Q267">
        <f t="shared" si="14"/>
        <v>0</v>
      </c>
    </row>
    <row r="268" spans="1:17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  <c r="O268">
        <f t="shared" si="12"/>
        <v>0</v>
      </c>
      <c r="P268">
        <f t="shared" si="13"/>
        <v>0</v>
      </c>
      <c r="Q268">
        <f t="shared" si="14"/>
        <v>0</v>
      </c>
    </row>
    <row r="269" spans="1:17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  <c r="O269">
        <f t="shared" si="12"/>
        <v>0</v>
      </c>
      <c r="P269">
        <f t="shared" si="13"/>
        <v>0</v>
      </c>
      <c r="Q269">
        <f t="shared" si="14"/>
        <v>0</v>
      </c>
    </row>
    <row r="270" spans="1:17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  <c r="O270">
        <f t="shared" si="12"/>
        <v>0</v>
      </c>
      <c r="P270">
        <f t="shared" si="13"/>
        <v>0</v>
      </c>
      <c r="Q270">
        <f t="shared" si="14"/>
        <v>0</v>
      </c>
    </row>
    <row r="271" spans="1:17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  <c r="O271">
        <f t="shared" si="12"/>
        <v>0</v>
      </c>
      <c r="P271">
        <f t="shared" si="13"/>
        <v>0</v>
      </c>
      <c r="Q271">
        <f t="shared" si="14"/>
        <v>0</v>
      </c>
    </row>
    <row r="272" spans="1:17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  <c r="O272">
        <f t="shared" si="12"/>
        <v>0</v>
      </c>
      <c r="P272">
        <f t="shared" si="13"/>
        <v>0</v>
      </c>
      <c r="Q272">
        <f t="shared" si="14"/>
        <v>0</v>
      </c>
    </row>
    <row r="273" spans="1:17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  <c r="O273">
        <f t="shared" si="12"/>
        <v>0</v>
      </c>
      <c r="P273">
        <f t="shared" si="13"/>
        <v>0</v>
      </c>
      <c r="Q273">
        <f t="shared" si="14"/>
        <v>0</v>
      </c>
    </row>
    <row r="274" spans="1:17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  <c r="O274">
        <f t="shared" si="12"/>
        <v>0</v>
      </c>
      <c r="P274">
        <f t="shared" si="13"/>
        <v>0</v>
      </c>
      <c r="Q274">
        <f t="shared" si="14"/>
        <v>1</v>
      </c>
    </row>
    <row r="275" spans="1:17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  <c r="O275">
        <f t="shared" si="12"/>
        <v>0</v>
      </c>
      <c r="P275">
        <f t="shared" si="13"/>
        <v>0</v>
      </c>
      <c r="Q275">
        <f t="shared" si="14"/>
        <v>1</v>
      </c>
    </row>
    <row r="276" spans="1:17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  <c r="O276">
        <f t="shared" si="12"/>
        <v>0</v>
      </c>
      <c r="P276">
        <f t="shared" si="13"/>
        <v>0</v>
      </c>
      <c r="Q276">
        <f t="shared" si="14"/>
        <v>1</v>
      </c>
    </row>
    <row r="277" spans="1:17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  <c r="O277">
        <f t="shared" si="12"/>
        <v>0</v>
      </c>
      <c r="P277">
        <f t="shared" si="13"/>
        <v>0</v>
      </c>
      <c r="Q277">
        <f t="shared" si="14"/>
        <v>1</v>
      </c>
    </row>
    <row r="278" spans="1:17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  <c r="O278">
        <f t="shared" si="12"/>
        <v>0</v>
      </c>
      <c r="P278">
        <f t="shared" si="13"/>
        <v>1</v>
      </c>
      <c r="Q278">
        <f t="shared" si="14"/>
        <v>0</v>
      </c>
    </row>
    <row r="279" spans="1:17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  <c r="O279">
        <f t="shared" si="12"/>
        <v>0</v>
      </c>
      <c r="P279">
        <f t="shared" si="13"/>
        <v>1</v>
      </c>
      <c r="Q279">
        <f t="shared" si="14"/>
        <v>0</v>
      </c>
    </row>
    <row r="280" spans="1:17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  <c r="O280">
        <f t="shared" si="12"/>
        <v>0</v>
      </c>
      <c r="P280">
        <f t="shared" si="13"/>
        <v>1</v>
      </c>
      <c r="Q280">
        <f t="shared" si="14"/>
        <v>0</v>
      </c>
    </row>
    <row r="281" spans="1:17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  <c r="O281">
        <f t="shared" si="12"/>
        <v>0</v>
      </c>
      <c r="P281">
        <f t="shared" si="13"/>
        <v>1</v>
      </c>
      <c r="Q281">
        <f t="shared" si="14"/>
        <v>0</v>
      </c>
    </row>
    <row r="282" spans="1:17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  <c r="O282">
        <f t="shared" si="12"/>
        <v>0</v>
      </c>
      <c r="P282">
        <f t="shared" si="13"/>
        <v>1</v>
      </c>
      <c r="Q282">
        <f t="shared" si="14"/>
        <v>0</v>
      </c>
    </row>
    <row r="283" spans="1:17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  <c r="O283">
        <f t="shared" si="12"/>
        <v>0</v>
      </c>
      <c r="P283">
        <f t="shared" si="13"/>
        <v>1</v>
      </c>
      <c r="Q283">
        <f t="shared" si="14"/>
        <v>0</v>
      </c>
    </row>
    <row r="284" spans="1:17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  <c r="O284">
        <f t="shared" si="12"/>
        <v>0</v>
      </c>
      <c r="P284">
        <f t="shared" si="13"/>
        <v>1</v>
      </c>
      <c r="Q284">
        <f t="shared" si="14"/>
        <v>0</v>
      </c>
    </row>
    <row r="285" spans="1:17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  <c r="O285">
        <f t="shared" si="12"/>
        <v>0</v>
      </c>
      <c r="P285">
        <f t="shared" si="13"/>
        <v>1</v>
      </c>
      <c r="Q285">
        <f t="shared" si="14"/>
        <v>0</v>
      </c>
    </row>
    <row r="286" spans="1:17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  <c r="O286">
        <f t="shared" si="12"/>
        <v>0</v>
      </c>
      <c r="P286">
        <f t="shared" si="13"/>
        <v>0</v>
      </c>
      <c r="Q286">
        <f t="shared" si="14"/>
        <v>1</v>
      </c>
    </row>
    <row r="287" spans="1:17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  <c r="O287">
        <f t="shared" si="12"/>
        <v>0</v>
      </c>
      <c r="P287">
        <f t="shared" si="13"/>
        <v>0</v>
      </c>
      <c r="Q287">
        <f t="shared" si="14"/>
        <v>1</v>
      </c>
    </row>
    <row r="288" spans="1:17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  <c r="O288">
        <f t="shared" si="12"/>
        <v>0</v>
      </c>
      <c r="P288">
        <f t="shared" si="13"/>
        <v>0</v>
      </c>
      <c r="Q288">
        <f t="shared" si="14"/>
        <v>1</v>
      </c>
    </row>
    <row r="289" spans="1:17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  <c r="O289">
        <f t="shared" si="12"/>
        <v>0</v>
      </c>
      <c r="P289">
        <f t="shared" si="13"/>
        <v>0</v>
      </c>
      <c r="Q289">
        <f t="shared" si="14"/>
        <v>1</v>
      </c>
    </row>
    <row r="290" spans="1:17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  <c r="O290">
        <f t="shared" si="12"/>
        <v>0</v>
      </c>
      <c r="P290">
        <f t="shared" si="13"/>
        <v>0</v>
      </c>
      <c r="Q290">
        <f t="shared" si="14"/>
        <v>0</v>
      </c>
    </row>
    <row r="291" spans="1:17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  <c r="O291">
        <f t="shared" si="12"/>
        <v>0</v>
      </c>
      <c r="P291">
        <f t="shared" si="13"/>
        <v>0</v>
      </c>
      <c r="Q291">
        <f t="shared" si="14"/>
        <v>0</v>
      </c>
    </row>
    <row r="292" spans="1:17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  <c r="O292">
        <f t="shared" si="12"/>
        <v>0</v>
      </c>
      <c r="P292">
        <f t="shared" si="13"/>
        <v>0</v>
      </c>
      <c r="Q292">
        <f t="shared" si="14"/>
        <v>0</v>
      </c>
    </row>
    <row r="293" spans="1:17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  <c r="O293">
        <f t="shared" si="12"/>
        <v>0</v>
      </c>
      <c r="P293">
        <f t="shared" si="13"/>
        <v>0</v>
      </c>
      <c r="Q293">
        <f t="shared" si="14"/>
        <v>0</v>
      </c>
    </row>
    <row r="294" spans="1:17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  <c r="O294">
        <f t="shared" si="12"/>
        <v>0</v>
      </c>
      <c r="P294">
        <f t="shared" si="13"/>
        <v>0</v>
      </c>
      <c r="Q294">
        <f t="shared" si="14"/>
        <v>1</v>
      </c>
    </row>
    <row r="295" spans="1:17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  <c r="O295">
        <f t="shared" si="12"/>
        <v>0</v>
      </c>
      <c r="P295">
        <f t="shared" si="13"/>
        <v>0</v>
      </c>
      <c r="Q295">
        <f t="shared" si="14"/>
        <v>1</v>
      </c>
    </row>
    <row r="296" spans="1:17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  <c r="O296">
        <f t="shared" si="12"/>
        <v>0</v>
      </c>
      <c r="P296">
        <f t="shared" si="13"/>
        <v>0</v>
      </c>
      <c r="Q296">
        <f t="shared" si="14"/>
        <v>1</v>
      </c>
    </row>
    <row r="297" spans="1:17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  <c r="O297">
        <f t="shared" si="12"/>
        <v>0</v>
      </c>
      <c r="P297">
        <f t="shared" si="13"/>
        <v>0</v>
      </c>
      <c r="Q297">
        <f t="shared" si="14"/>
        <v>1</v>
      </c>
    </row>
    <row r="298" spans="1:17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  <c r="O298">
        <f t="shared" si="12"/>
        <v>0</v>
      </c>
      <c r="P298">
        <f t="shared" si="13"/>
        <v>0</v>
      </c>
      <c r="Q298">
        <f t="shared" si="14"/>
        <v>1</v>
      </c>
    </row>
    <row r="299" spans="1:17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  <c r="O299">
        <f t="shared" si="12"/>
        <v>0</v>
      </c>
      <c r="P299">
        <f t="shared" si="13"/>
        <v>0</v>
      </c>
      <c r="Q299">
        <f t="shared" si="14"/>
        <v>1</v>
      </c>
    </row>
    <row r="300" spans="1:17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  <c r="O300">
        <f t="shared" si="12"/>
        <v>0</v>
      </c>
      <c r="P300">
        <f t="shared" si="13"/>
        <v>0</v>
      </c>
      <c r="Q300">
        <f t="shared" si="14"/>
        <v>1</v>
      </c>
    </row>
    <row r="301" spans="1:17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  <c r="O301">
        <f t="shared" si="12"/>
        <v>0</v>
      </c>
      <c r="P301">
        <f t="shared" si="13"/>
        <v>0</v>
      </c>
      <c r="Q301">
        <f t="shared" si="14"/>
        <v>1</v>
      </c>
    </row>
    <row r="302" spans="1:17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  <c r="O302">
        <f t="shared" si="12"/>
        <v>1</v>
      </c>
      <c r="P302">
        <f t="shared" si="13"/>
        <v>0</v>
      </c>
      <c r="Q302">
        <f t="shared" si="14"/>
        <v>0</v>
      </c>
    </row>
    <row r="303" spans="1:17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  <c r="O303">
        <f t="shared" si="12"/>
        <v>1</v>
      </c>
      <c r="P303">
        <f t="shared" si="13"/>
        <v>0</v>
      </c>
      <c r="Q303">
        <f t="shared" si="14"/>
        <v>0</v>
      </c>
    </row>
    <row r="304" spans="1:17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  <c r="O304">
        <f t="shared" si="12"/>
        <v>1</v>
      </c>
      <c r="P304">
        <f t="shared" si="13"/>
        <v>0</v>
      </c>
      <c r="Q304">
        <f t="shared" si="14"/>
        <v>0</v>
      </c>
    </row>
    <row r="305" spans="1:17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  <c r="O305">
        <f t="shared" si="12"/>
        <v>1</v>
      </c>
      <c r="P305">
        <f t="shared" si="13"/>
        <v>0</v>
      </c>
      <c r="Q305">
        <f t="shared" si="14"/>
        <v>0</v>
      </c>
    </row>
    <row r="306" spans="1:17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  <c r="O306">
        <f t="shared" si="12"/>
        <v>0</v>
      </c>
      <c r="P306">
        <f t="shared" si="13"/>
        <v>1</v>
      </c>
      <c r="Q306">
        <f t="shared" si="14"/>
        <v>0</v>
      </c>
    </row>
    <row r="307" spans="1:17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  <c r="O307">
        <f t="shared" si="12"/>
        <v>0</v>
      </c>
      <c r="P307">
        <f t="shared" si="13"/>
        <v>1</v>
      </c>
      <c r="Q307">
        <f t="shared" si="14"/>
        <v>0</v>
      </c>
    </row>
    <row r="308" spans="1:17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  <c r="O308">
        <f t="shared" si="12"/>
        <v>0</v>
      </c>
      <c r="P308">
        <f t="shared" si="13"/>
        <v>1</v>
      </c>
      <c r="Q308">
        <f t="shared" si="14"/>
        <v>0</v>
      </c>
    </row>
    <row r="309" spans="1:17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  <c r="O309">
        <f t="shared" si="12"/>
        <v>0</v>
      </c>
      <c r="P309">
        <f t="shared" si="13"/>
        <v>1</v>
      </c>
      <c r="Q309">
        <f t="shared" si="14"/>
        <v>0</v>
      </c>
    </row>
    <row r="310" spans="1:17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  <c r="O310">
        <f t="shared" si="12"/>
        <v>0</v>
      </c>
      <c r="P310">
        <f t="shared" si="13"/>
        <v>1</v>
      </c>
      <c r="Q310">
        <f t="shared" si="14"/>
        <v>0</v>
      </c>
    </row>
    <row r="311" spans="1:17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  <c r="O311">
        <f t="shared" si="12"/>
        <v>0</v>
      </c>
      <c r="P311">
        <f t="shared" si="13"/>
        <v>1</v>
      </c>
      <c r="Q311">
        <f t="shared" si="14"/>
        <v>0</v>
      </c>
    </row>
    <row r="312" spans="1:17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  <c r="O312">
        <f t="shared" si="12"/>
        <v>0</v>
      </c>
      <c r="P312">
        <f t="shared" si="13"/>
        <v>1</v>
      </c>
      <c r="Q312">
        <f t="shared" si="14"/>
        <v>0</v>
      </c>
    </row>
    <row r="313" spans="1:17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L313">
        <v>3.92</v>
      </c>
      <c r="M313">
        <v>771129.07</v>
      </c>
      <c r="N313">
        <v>116851.13</v>
      </c>
      <c r="O313">
        <f t="shared" si="12"/>
        <v>0</v>
      </c>
      <c r="P313">
        <f t="shared" si="13"/>
        <v>1</v>
      </c>
      <c r="Q313">
        <f t="shared" si="14"/>
        <v>0</v>
      </c>
    </row>
    <row r="314" spans="1:17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  <c r="O314">
        <f t="shared" si="12"/>
        <v>1</v>
      </c>
      <c r="P314">
        <f t="shared" si="13"/>
        <v>0</v>
      </c>
      <c r="Q314">
        <f t="shared" si="14"/>
        <v>0</v>
      </c>
    </row>
    <row r="315" spans="1:17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L315">
        <v>3.92</v>
      </c>
      <c r="M315">
        <v>688368.46</v>
      </c>
      <c r="N315">
        <v>93588.42</v>
      </c>
      <c r="O315">
        <f t="shared" si="12"/>
        <v>1</v>
      </c>
      <c r="P315">
        <f t="shared" si="13"/>
        <v>0</v>
      </c>
      <c r="Q315">
        <f t="shared" si="14"/>
        <v>0</v>
      </c>
    </row>
    <row r="316" spans="1:17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  <c r="O316">
        <f t="shared" si="12"/>
        <v>1</v>
      </c>
      <c r="P316">
        <f t="shared" si="13"/>
        <v>0</v>
      </c>
      <c r="Q316">
        <f t="shared" si="14"/>
        <v>0</v>
      </c>
    </row>
    <row r="317" spans="1:17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  <c r="O317">
        <f t="shared" si="12"/>
        <v>1</v>
      </c>
      <c r="P317">
        <f t="shared" si="13"/>
        <v>0</v>
      </c>
      <c r="Q317">
        <f t="shared" si="14"/>
        <v>0</v>
      </c>
    </row>
    <row r="318" spans="1:17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  <c r="O318">
        <f t="shared" si="12"/>
        <v>0</v>
      </c>
      <c r="P318">
        <f t="shared" si="13"/>
        <v>0</v>
      </c>
      <c r="Q318">
        <f t="shared" si="14"/>
        <v>0</v>
      </c>
    </row>
    <row r="319" spans="1:17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  <c r="O319">
        <f t="shared" si="12"/>
        <v>0</v>
      </c>
      <c r="P319">
        <f t="shared" si="13"/>
        <v>0</v>
      </c>
      <c r="Q319">
        <f t="shared" si="14"/>
        <v>0</v>
      </c>
    </row>
    <row r="320" spans="1:17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  <c r="O320">
        <f t="shared" si="12"/>
        <v>0</v>
      </c>
      <c r="P320">
        <f t="shared" si="13"/>
        <v>0</v>
      </c>
      <c r="Q320">
        <f t="shared" si="14"/>
        <v>0</v>
      </c>
    </row>
    <row r="321" spans="1:17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  <c r="O321">
        <f t="shared" si="12"/>
        <v>0</v>
      </c>
      <c r="P321">
        <f t="shared" si="13"/>
        <v>0</v>
      </c>
      <c r="Q321">
        <f t="shared" si="14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E64E-8CB1-499C-9595-7537C44E86D0}">
  <dimension ref="A1:I18"/>
  <sheetViews>
    <sheetView zoomScale="65" workbookViewId="0">
      <selection activeCell="J11" sqref="J11"/>
    </sheetView>
  </sheetViews>
  <sheetFormatPr defaultRowHeight="14.6"/>
  <sheetData>
    <row r="1" spans="1:9">
      <c r="A1" t="s">
        <v>103</v>
      </c>
    </row>
    <row r="2" spans="1:9" ht="15" thickBot="1"/>
    <row r="3" spans="1:9">
      <c r="A3" s="6" t="s">
        <v>104</v>
      </c>
      <c r="B3" s="6"/>
    </row>
    <row r="4" spans="1:9">
      <c r="A4" s="3" t="s">
        <v>105</v>
      </c>
      <c r="B4" s="3">
        <v>0.40977478417430607</v>
      </c>
    </row>
    <row r="5" spans="1:9">
      <c r="A5" s="3" t="s">
        <v>106</v>
      </c>
      <c r="B5" s="3">
        <v>0.1679153737450991</v>
      </c>
    </row>
    <row r="6" spans="1:9">
      <c r="A6" s="3" t="s">
        <v>107</v>
      </c>
      <c r="B6" s="3">
        <v>0.16529050110707103</v>
      </c>
    </row>
    <row r="7" spans="1:9">
      <c r="A7" s="3" t="s">
        <v>108</v>
      </c>
      <c r="B7" s="3">
        <v>94950.667202534241</v>
      </c>
    </row>
    <row r="8" spans="1:9" ht="15" thickBot="1">
      <c r="A8" s="4" t="s">
        <v>109</v>
      </c>
      <c r="B8" s="4">
        <v>319</v>
      </c>
    </row>
    <row r="10" spans="1:9" ht="15" thickBot="1">
      <c r="A10" t="s">
        <v>110</v>
      </c>
    </row>
    <row r="11" spans="1:9">
      <c r="A11" s="5"/>
      <c r="B11" s="5" t="s">
        <v>115</v>
      </c>
      <c r="C11" s="5" t="s">
        <v>116</v>
      </c>
      <c r="D11" s="5" t="s">
        <v>117</v>
      </c>
      <c r="E11" s="5" t="s">
        <v>118</v>
      </c>
      <c r="F11" s="5" t="s">
        <v>119</v>
      </c>
    </row>
    <row r="12" spans="1:9">
      <c r="A12" s="3" t="s">
        <v>111</v>
      </c>
      <c r="B12" s="3">
        <v>1</v>
      </c>
      <c r="C12" s="3">
        <v>576737600561.45068</v>
      </c>
      <c r="D12" s="3">
        <v>576737600561.45068</v>
      </c>
      <c r="E12" s="3">
        <v>63.970865219291035</v>
      </c>
      <c r="F12" s="3">
        <v>2.3909308565216624E-14</v>
      </c>
    </row>
    <row r="13" spans="1:9">
      <c r="A13" s="3" t="s">
        <v>112</v>
      </c>
      <c r="B13" s="3">
        <v>317</v>
      </c>
      <c r="C13" s="3">
        <v>2857954457099.4326</v>
      </c>
      <c r="D13" s="3">
        <v>9015629202.2064114</v>
      </c>
      <c r="E13" s="3"/>
      <c r="F13" s="3"/>
    </row>
    <row r="14" spans="1:9" ht="15" thickBot="1">
      <c r="A14" s="4" t="s">
        <v>113</v>
      </c>
      <c r="B14" s="4">
        <v>318</v>
      </c>
      <c r="C14" s="4">
        <v>3434692057660.8833</v>
      </c>
      <c r="D14" s="4"/>
      <c r="E14" s="4"/>
      <c r="F14" s="4"/>
    </row>
    <row r="15" spans="1:9" ht="15" thickBot="1"/>
    <row r="16" spans="1:9">
      <c r="A16" s="5"/>
      <c r="B16" s="5" t="s">
        <v>120</v>
      </c>
      <c r="C16" s="5" t="s">
        <v>108</v>
      </c>
      <c r="D16" s="5" t="s">
        <v>121</v>
      </c>
      <c r="E16" s="5" t="s">
        <v>122</v>
      </c>
      <c r="F16" s="5" t="s">
        <v>123</v>
      </c>
      <c r="G16" s="5" t="s">
        <v>124</v>
      </c>
      <c r="H16" s="5" t="s">
        <v>125</v>
      </c>
      <c r="I16" s="5" t="s">
        <v>126</v>
      </c>
    </row>
    <row r="17" spans="1:9">
      <c r="A17" s="3" t="s">
        <v>114</v>
      </c>
      <c r="B17" s="3">
        <v>560613.61507034348</v>
      </c>
      <c r="C17" s="3">
        <v>15927.264192377823</v>
      </c>
      <c r="D17" s="3">
        <v>35.198362273580649</v>
      </c>
      <c r="E17" s="3">
        <v>1.5413302459714516E-111</v>
      </c>
      <c r="F17" s="3">
        <v>529277.11047286727</v>
      </c>
      <c r="G17" s="3">
        <v>591950.1196678197</v>
      </c>
      <c r="H17" s="3">
        <v>529277.11047286727</v>
      </c>
      <c r="I17" s="3">
        <v>591950.1196678197</v>
      </c>
    </row>
    <row r="18" spans="1:9" ht="15" thickBot="1">
      <c r="A18" s="4">
        <v>70389.11</v>
      </c>
      <c r="B18" s="4">
        <v>2.1353768431354161</v>
      </c>
      <c r="C18" s="4">
        <v>0.26698288174478985</v>
      </c>
      <c r="D18" s="4">
        <v>7.9981788689232616</v>
      </c>
      <c r="E18" s="4">
        <v>2.3909308565221017E-14</v>
      </c>
      <c r="F18" s="4">
        <v>1.6100945221925103</v>
      </c>
      <c r="G18" s="4">
        <v>2.6606591640783219</v>
      </c>
      <c r="H18" s="4">
        <v>1.6100945221925103</v>
      </c>
      <c r="I18" s="4">
        <v>2.6606591640783219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61C64-AFEB-42AC-9430-791317CD6742}">
  <dimension ref="A1:I18"/>
  <sheetViews>
    <sheetView workbookViewId="0">
      <selection sqref="A1:I21"/>
    </sheetView>
  </sheetViews>
  <sheetFormatPr defaultRowHeight="14.6"/>
  <sheetData>
    <row r="1" spans="1:9">
      <c r="A1" t="s">
        <v>103</v>
      </c>
    </row>
    <row r="2" spans="1:9" ht="15" thickBot="1"/>
    <row r="3" spans="1:9">
      <c r="A3" s="6" t="s">
        <v>104</v>
      </c>
      <c r="B3" s="6"/>
    </row>
    <row r="4" spans="1:9">
      <c r="A4" s="3" t="s">
        <v>105</v>
      </c>
      <c r="B4" s="3">
        <v>0.859244855751231</v>
      </c>
    </row>
    <row r="5" spans="1:9">
      <c r="A5" s="3" t="s">
        <v>106</v>
      </c>
      <c r="B5" s="3">
        <v>0.73830172213495371</v>
      </c>
    </row>
    <row r="6" spans="1:9">
      <c r="A6" s="3" t="s">
        <v>107</v>
      </c>
      <c r="B6" s="3">
        <v>0.73747617551708289</v>
      </c>
    </row>
    <row r="7" spans="1:9">
      <c r="A7" s="3" t="s">
        <v>108</v>
      </c>
      <c r="B7" s="3">
        <v>53249.398227864229</v>
      </c>
    </row>
    <row r="8" spans="1:9" ht="15" thickBot="1">
      <c r="A8" s="4" t="s">
        <v>109</v>
      </c>
      <c r="B8" s="4">
        <v>319</v>
      </c>
    </row>
    <row r="10" spans="1:9" ht="15" thickBot="1">
      <c r="A10" t="s">
        <v>110</v>
      </c>
    </row>
    <row r="11" spans="1:9">
      <c r="A11" s="5"/>
      <c r="B11" s="5" t="s">
        <v>115</v>
      </c>
      <c r="C11" s="5" t="s">
        <v>116</v>
      </c>
      <c r="D11" s="5" t="s">
        <v>117</v>
      </c>
      <c r="E11" s="5" t="s">
        <v>118</v>
      </c>
      <c r="F11" s="5" t="s">
        <v>119</v>
      </c>
    </row>
    <row r="12" spans="1:9">
      <c r="A12" s="3" t="s">
        <v>111</v>
      </c>
      <c r="B12" s="3">
        <v>1</v>
      </c>
      <c r="C12" s="3">
        <v>2535839061174.2778</v>
      </c>
      <c r="D12" s="3">
        <v>2535839061174.2778</v>
      </c>
      <c r="E12" s="3">
        <v>894.31863222834022</v>
      </c>
      <c r="F12" s="3">
        <v>2.74098588273739E-94</v>
      </c>
    </row>
    <row r="13" spans="1:9">
      <c r="A13" s="3" t="s">
        <v>112</v>
      </c>
      <c r="B13" s="3">
        <v>317</v>
      </c>
      <c r="C13" s="3">
        <v>898852996486.60547</v>
      </c>
      <c r="D13" s="3">
        <v>2835498411.6296701</v>
      </c>
      <c r="E13" s="3"/>
      <c r="F13" s="3"/>
    </row>
    <row r="14" spans="1:9" ht="15" thickBot="1">
      <c r="A14" s="4" t="s">
        <v>113</v>
      </c>
      <c r="B14" s="4">
        <v>318</v>
      </c>
      <c r="C14" s="4">
        <v>3434692057660.8833</v>
      </c>
      <c r="D14" s="4"/>
      <c r="E14" s="4"/>
      <c r="F14" s="4"/>
    </row>
    <row r="15" spans="1:9" ht="15" thickBot="1"/>
    <row r="16" spans="1:9">
      <c r="A16" s="5"/>
      <c r="B16" s="5" t="s">
        <v>120</v>
      </c>
      <c r="C16" s="5" t="s">
        <v>108</v>
      </c>
      <c r="D16" s="5" t="s">
        <v>121</v>
      </c>
      <c r="E16" s="5" t="s">
        <v>122</v>
      </c>
      <c r="F16" s="5" t="s">
        <v>123</v>
      </c>
      <c r="G16" s="5" t="s">
        <v>124</v>
      </c>
      <c r="H16" s="5" t="s">
        <v>125</v>
      </c>
      <c r="I16" s="5" t="s">
        <v>126</v>
      </c>
    </row>
    <row r="17" spans="1:9">
      <c r="A17" s="3" t="s">
        <v>114</v>
      </c>
      <c r="B17" s="3">
        <v>446190.51501475286</v>
      </c>
      <c r="C17" s="3">
        <v>8389.3125699415159</v>
      </c>
      <c r="D17" s="3">
        <v>53.185587173546374</v>
      </c>
      <c r="E17" s="3">
        <v>5.0528341737437921E-160</v>
      </c>
      <c r="F17" s="3">
        <v>429684.74674580886</v>
      </c>
      <c r="G17" s="3">
        <v>462696.28328369686</v>
      </c>
      <c r="H17" s="3">
        <v>429684.74674580886</v>
      </c>
      <c r="I17" s="3">
        <v>462696.28328369686</v>
      </c>
    </row>
    <row r="18" spans="1:9" ht="15" thickBot="1">
      <c r="A18" s="4">
        <v>8302</v>
      </c>
      <c r="B18" s="4">
        <v>35.751619680654599</v>
      </c>
      <c r="C18" s="4">
        <v>1.1955000049838875</v>
      </c>
      <c r="D18" s="4">
        <v>29.905160628699825</v>
      </c>
      <c r="E18" s="4">
        <v>2.740985882738092E-94</v>
      </c>
      <c r="F18" s="4">
        <v>33.399502521677057</v>
      </c>
      <c r="G18" s="4">
        <v>38.103736839632141</v>
      </c>
      <c r="H18" s="4">
        <v>33.399502521677057</v>
      </c>
      <c r="I18" s="4">
        <v>38.103736839632141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5E50B-D63C-4535-9F20-EC866679DD2B}">
  <dimension ref="A1:I20"/>
  <sheetViews>
    <sheetView zoomScale="58" workbookViewId="0">
      <selection activeCell="J14" sqref="J14"/>
    </sheetView>
  </sheetViews>
  <sheetFormatPr defaultRowHeight="14.6"/>
  <sheetData>
    <row r="1" spans="1:9">
      <c r="A1" t="s">
        <v>103</v>
      </c>
    </row>
    <row r="2" spans="1:9" ht="15" thickBot="1"/>
    <row r="3" spans="1:9">
      <c r="A3" s="6" t="s">
        <v>104</v>
      </c>
      <c r="B3" s="6"/>
    </row>
    <row r="4" spans="1:9">
      <c r="A4" s="3" t="s">
        <v>105</v>
      </c>
      <c r="B4" s="3">
        <v>7.2862243970573934E-2</v>
      </c>
    </row>
    <row r="5" spans="1:9">
      <c r="A5" s="3" t="s">
        <v>106</v>
      </c>
      <c r="B5" s="3">
        <v>5.3089065964274382E-3</v>
      </c>
    </row>
    <row r="6" spans="1:9">
      <c r="A6" s="3" t="s">
        <v>107</v>
      </c>
      <c r="B6" s="3">
        <v>-4.1643419121780148E-3</v>
      </c>
    </row>
    <row r="7" spans="1:9">
      <c r="A7" s="3" t="s">
        <v>108</v>
      </c>
      <c r="B7" s="3">
        <v>104143.63704799725</v>
      </c>
    </row>
    <row r="8" spans="1:9" ht="15" thickBot="1">
      <c r="A8" s="4" t="s">
        <v>109</v>
      </c>
      <c r="B8" s="4">
        <v>319</v>
      </c>
    </row>
    <row r="10" spans="1:9" ht="15" thickBot="1">
      <c r="A10" t="s">
        <v>110</v>
      </c>
    </row>
    <row r="11" spans="1:9">
      <c r="A11" s="5"/>
      <c r="B11" s="5" t="s">
        <v>115</v>
      </c>
      <c r="C11" s="5" t="s">
        <v>116</v>
      </c>
      <c r="D11" s="5" t="s">
        <v>117</v>
      </c>
      <c r="E11" s="5" t="s">
        <v>118</v>
      </c>
      <c r="F11" s="5" t="s">
        <v>119</v>
      </c>
    </row>
    <row r="12" spans="1:9">
      <c r="A12" s="3" t="s">
        <v>111</v>
      </c>
      <c r="B12" s="3">
        <v>3</v>
      </c>
      <c r="C12" s="3">
        <v>18234459321.612793</v>
      </c>
      <c r="D12" s="3">
        <v>6078153107.2042646</v>
      </c>
      <c r="E12" s="3">
        <v>0.56041035887582313</v>
      </c>
      <c r="F12" s="3">
        <v>0.64151946827719941</v>
      </c>
    </row>
    <row r="13" spans="1:9">
      <c r="A13" s="3" t="s">
        <v>112</v>
      </c>
      <c r="B13" s="3">
        <v>315</v>
      </c>
      <c r="C13" s="3">
        <v>3416457598339.2705</v>
      </c>
      <c r="D13" s="3">
        <v>10845897137.584986</v>
      </c>
      <c r="E13" s="3"/>
      <c r="F13" s="3"/>
    </row>
    <row r="14" spans="1:9" ht="15" thickBot="1">
      <c r="A14" s="4" t="s">
        <v>113</v>
      </c>
      <c r="B14" s="4">
        <v>318</v>
      </c>
      <c r="C14" s="4">
        <v>3434692057660.8833</v>
      </c>
      <c r="D14" s="4"/>
      <c r="E14" s="4"/>
      <c r="F14" s="4"/>
    </row>
    <row r="15" spans="1:9" ht="15" thickBot="1"/>
    <row r="16" spans="1:9">
      <c r="A16" s="5"/>
      <c r="B16" s="5" t="s">
        <v>120</v>
      </c>
      <c r="C16" s="5" t="s">
        <v>108</v>
      </c>
      <c r="D16" s="5" t="s">
        <v>121</v>
      </c>
      <c r="E16" s="5" t="s">
        <v>122</v>
      </c>
      <c r="F16" s="5" t="s">
        <v>123</v>
      </c>
      <c r="G16" s="5" t="s">
        <v>124</v>
      </c>
      <c r="H16" s="5" t="s">
        <v>125</v>
      </c>
      <c r="I16" s="5" t="s">
        <v>126</v>
      </c>
    </row>
    <row r="17" spans="1:9">
      <c r="A17" s="3" t="s">
        <v>114</v>
      </c>
      <c r="B17" s="3">
        <v>680591.65932038799</v>
      </c>
      <c r="C17" s="3">
        <v>10261.577471790755</v>
      </c>
      <c r="D17" s="3">
        <v>66.324272383202839</v>
      </c>
      <c r="E17" s="3">
        <v>3.9240335683150389E-187</v>
      </c>
      <c r="F17" s="3">
        <v>660401.76417237381</v>
      </c>
      <c r="G17" s="3">
        <v>700781.55446840217</v>
      </c>
      <c r="H17" s="3">
        <v>660401.76417237381</v>
      </c>
      <c r="I17" s="3">
        <v>700781.55446840217</v>
      </c>
    </row>
    <row r="18" spans="1:9">
      <c r="A18" s="3">
        <v>0</v>
      </c>
      <c r="B18" s="3">
        <v>-11535.814007888366</v>
      </c>
      <c r="C18" s="3">
        <v>16576.100717126756</v>
      </c>
      <c r="D18" s="3">
        <v>-0.69593049684895647</v>
      </c>
      <c r="E18" s="3">
        <v>0.4869854945311074</v>
      </c>
      <c r="F18" s="3">
        <v>-44149.682232508261</v>
      </c>
      <c r="G18" s="3">
        <v>21078.054216731529</v>
      </c>
      <c r="H18" s="3">
        <v>-44149.682232508261</v>
      </c>
      <c r="I18" s="3">
        <v>21078.054216731529</v>
      </c>
    </row>
    <row r="19" spans="1:9">
      <c r="A19" s="3">
        <v>0</v>
      </c>
      <c r="B19" s="3">
        <v>12728.228512944997</v>
      </c>
      <c r="C19" s="3">
        <v>16913.453949523348</v>
      </c>
      <c r="D19" s="3">
        <v>0.75255051693942754</v>
      </c>
      <c r="E19" s="3">
        <v>0.45228206057063602</v>
      </c>
      <c r="F19" s="3">
        <v>-20549.390134907073</v>
      </c>
      <c r="G19" s="3">
        <v>46005.847160797064</v>
      </c>
      <c r="H19" s="3">
        <v>-20549.390134907073</v>
      </c>
      <c r="I19" s="3">
        <v>46005.847160797064</v>
      </c>
    </row>
    <row r="20" spans="1:9" ht="15" thickBot="1">
      <c r="A20" s="4">
        <v>0</v>
      </c>
      <c r="B20" s="4">
        <v>89.30611439428219</v>
      </c>
      <c r="C20" s="4">
        <v>14939.550143416704</v>
      </c>
      <c r="D20" s="4">
        <v>5.9778315636656587E-3</v>
      </c>
      <c r="E20" s="4">
        <v>0.99523419286653436</v>
      </c>
      <c r="F20" s="4">
        <v>-29304.610345649377</v>
      </c>
      <c r="G20" s="4">
        <v>29483.222574437943</v>
      </c>
      <c r="H20" s="4">
        <v>-29304.610345649377</v>
      </c>
      <c r="I20" s="4">
        <v>29483.222574437943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9F42A-5040-4CC9-8132-7352F17E8787}">
  <dimension ref="A1:T321"/>
  <sheetViews>
    <sheetView topLeftCell="D1" zoomScale="45" workbookViewId="0">
      <selection activeCell="T2" sqref="T2:T321"/>
    </sheetView>
  </sheetViews>
  <sheetFormatPr defaultRowHeight="14.6"/>
  <cols>
    <col min="18" max="18" width="13.3046875" customWidth="1"/>
    <col min="19" max="19" width="14.07421875" customWidth="1"/>
  </cols>
  <sheetData>
    <row r="1" spans="1:20" ht="56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20</v>
      </c>
      <c r="P1" s="1" t="s">
        <v>24</v>
      </c>
      <c r="Q1" s="1" t="s">
        <v>102</v>
      </c>
      <c r="R1" s="8" t="s">
        <v>127</v>
      </c>
      <c r="S1" s="8" t="s">
        <v>128</v>
      </c>
      <c r="T1" s="8" t="s">
        <v>112</v>
      </c>
    </row>
    <row r="2" spans="1:20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  <c r="O2">
        <f>IF(C2="North",1,0)</f>
        <v>0</v>
      </c>
      <c r="P2">
        <f>IF(C2="South",1,0)</f>
        <v>0</v>
      </c>
      <c r="Q2">
        <f>IF(C2="West",1,0)</f>
        <v>0</v>
      </c>
      <c r="R2">
        <v>658832.62</v>
      </c>
      <c r="S2">
        <f>131460.31+(1.19*E2)+(33.87*F2)+(2818.21*I2)+(10547.38*O2)+(21940.49*P2)+(17491.37*Q2)</f>
        <v>707777.84089999995</v>
      </c>
      <c r="T2">
        <f>S2-R2</f>
        <v>48945.220899999957</v>
      </c>
    </row>
    <row r="3" spans="1:20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  <c r="O3">
        <f t="shared" ref="O3:O66" si="0">IF(C3="North",1,0)</f>
        <v>0</v>
      </c>
      <c r="P3">
        <f t="shared" ref="P3:P66" si="1">IF(C3="South",1,0)</f>
        <v>0</v>
      </c>
      <c r="Q3">
        <f t="shared" ref="Q3:Q66" si="2">IF(C3="West",1,0)</f>
        <v>0</v>
      </c>
      <c r="R3">
        <v>634436</v>
      </c>
      <c r="S3">
        <f>131460.31+(1.19*E3)+(33.87*F3)+(2818.21*I3)+(10547.38*O3)+(21940.49*P3)+(17491.37*Q3)</f>
        <v>708927.11309999996</v>
      </c>
      <c r="T3">
        <f t="shared" ref="T3:T66" si="3">S3-R3</f>
        <v>74491.113099999959</v>
      </c>
    </row>
    <row r="4" spans="1:20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  <c r="O4">
        <f t="shared" si="0"/>
        <v>0</v>
      </c>
      <c r="P4">
        <f t="shared" si="1"/>
        <v>0</v>
      </c>
      <c r="Q4">
        <f t="shared" si="2"/>
        <v>0</v>
      </c>
      <c r="R4">
        <v>678722.06</v>
      </c>
      <c r="S4">
        <f t="shared" ref="S4:S67" si="4">131460.31+(1.19*E4)+(33.87*F4)+(2818.21*I4)+(10547.38*O4)+(21940.49*P4)+(17491.37*Q4)</f>
        <v>759426.98250000004</v>
      </c>
      <c r="T4">
        <f t="shared" si="3"/>
        <v>80704.922499999986</v>
      </c>
    </row>
    <row r="5" spans="1:20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  <c r="O5">
        <f t="shared" si="0"/>
        <v>0</v>
      </c>
      <c r="P5">
        <f t="shared" si="1"/>
        <v>0</v>
      </c>
      <c r="Q5">
        <f t="shared" si="2"/>
        <v>0</v>
      </c>
      <c r="R5">
        <v>658920.30000000005</v>
      </c>
      <c r="S5">
        <f t="shared" si="4"/>
        <v>763450.11869999999</v>
      </c>
      <c r="T5">
        <f t="shared" si="3"/>
        <v>104529.81869999995</v>
      </c>
    </row>
    <row r="6" spans="1:20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  <c r="O6">
        <f t="shared" si="0"/>
        <v>0</v>
      </c>
      <c r="P6">
        <f t="shared" si="1"/>
        <v>0</v>
      </c>
      <c r="Q6">
        <f t="shared" si="2"/>
        <v>0</v>
      </c>
      <c r="R6">
        <v>741341.44</v>
      </c>
      <c r="S6">
        <f t="shared" si="4"/>
        <v>787417.79759999993</v>
      </c>
      <c r="T6">
        <f t="shared" si="3"/>
        <v>46076.357599999988</v>
      </c>
    </row>
    <row r="7" spans="1:20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  <c r="O7">
        <f t="shared" si="0"/>
        <v>0</v>
      </c>
      <c r="P7">
        <f t="shared" si="1"/>
        <v>0</v>
      </c>
      <c r="Q7">
        <f t="shared" si="2"/>
        <v>0</v>
      </c>
      <c r="R7">
        <v>761835.34</v>
      </c>
      <c r="S7">
        <f t="shared" si="4"/>
        <v>777533.9719</v>
      </c>
      <c r="T7">
        <f t="shared" si="3"/>
        <v>15698.631900000037</v>
      </c>
    </row>
    <row r="8" spans="1:20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  <c r="O8">
        <f t="shared" si="0"/>
        <v>0</v>
      </c>
      <c r="P8">
        <f t="shared" si="1"/>
        <v>0</v>
      </c>
      <c r="Q8">
        <f t="shared" si="2"/>
        <v>0</v>
      </c>
      <c r="R8">
        <v>806615.54</v>
      </c>
      <c r="S8">
        <f t="shared" si="4"/>
        <v>786129.72749999992</v>
      </c>
      <c r="T8">
        <f t="shared" si="3"/>
        <v>-20485.812500000116</v>
      </c>
    </row>
    <row r="9" spans="1:20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  <c r="O9">
        <f t="shared" si="0"/>
        <v>0</v>
      </c>
      <c r="P9">
        <f t="shared" si="1"/>
        <v>0</v>
      </c>
      <c r="Q9">
        <f t="shared" si="2"/>
        <v>0</v>
      </c>
      <c r="R9">
        <v>850164.26</v>
      </c>
      <c r="S9">
        <f t="shared" si="4"/>
        <v>772142.21479999996</v>
      </c>
      <c r="T9">
        <f t="shared" si="3"/>
        <v>-78022.045200000051</v>
      </c>
    </row>
    <row r="10" spans="1:20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  <c r="O10">
        <f t="shared" si="0"/>
        <v>1</v>
      </c>
      <c r="P10">
        <f t="shared" si="1"/>
        <v>0</v>
      </c>
      <c r="Q10">
        <f t="shared" si="2"/>
        <v>0</v>
      </c>
      <c r="R10">
        <v>930581.7</v>
      </c>
      <c r="S10">
        <f t="shared" si="4"/>
        <v>849048.06939999992</v>
      </c>
      <c r="T10">
        <f t="shared" si="3"/>
        <v>-81533.630600000033</v>
      </c>
    </row>
    <row r="11" spans="1:20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  <c r="O11">
        <f t="shared" si="0"/>
        <v>1</v>
      </c>
      <c r="P11">
        <f t="shared" si="1"/>
        <v>0</v>
      </c>
      <c r="Q11">
        <f t="shared" si="2"/>
        <v>0</v>
      </c>
      <c r="R11">
        <v>779010.94</v>
      </c>
      <c r="S11">
        <f t="shared" si="4"/>
        <v>783010.66359999997</v>
      </c>
      <c r="T11">
        <f t="shared" si="3"/>
        <v>3999.7236000000266</v>
      </c>
    </row>
    <row r="12" spans="1:20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  <c r="O12">
        <f t="shared" si="0"/>
        <v>1</v>
      </c>
      <c r="P12">
        <f t="shared" si="1"/>
        <v>0</v>
      </c>
      <c r="Q12">
        <f t="shared" si="2"/>
        <v>0</v>
      </c>
      <c r="R12">
        <v>723060.76</v>
      </c>
      <c r="S12">
        <f t="shared" si="4"/>
        <v>742310.67289999989</v>
      </c>
      <c r="T12">
        <f t="shared" si="3"/>
        <v>19249.912899999879</v>
      </c>
    </row>
    <row r="13" spans="1:20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  <c r="O13">
        <f t="shared" si="0"/>
        <v>1</v>
      </c>
      <c r="P13">
        <f t="shared" si="1"/>
        <v>0</v>
      </c>
      <c r="Q13">
        <f t="shared" si="2"/>
        <v>0</v>
      </c>
      <c r="R13">
        <v>910791.94</v>
      </c>
      <c r="S13">
        <f t="shared" si="4"/>
        <v>843657.16019999993</v>
      </c>
      <c r="T13">
        <f t="shared" si="3"/>
        <v>-67134.779800000018</v>
      </c>
    </row>
    <row r="14" spans="1:20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  <c r="O14">
        <f t="shared" si="0"/>
        <v>0</v>
      </c>
      <c r="P14">
        <f t="shared" si="1"/>
        <v>0</v>
      </c>
      <c r="Q14">
        <f t="shared" si="2"/>
        <v>0</v>
      </c>
      <c r="R14">
        <v>922168.6</v>
      </c>
      <c r="S14">
        <f t="shared" si="4"/>
        <v>879872.9463999999</v>
      </c>
      <c r="T14">
        <f t="shared" si="3"/>
        <v>-42295.653600000078</v>
      </c>
    </row>
    <row r="15" spans="1:20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  <c r="O15">
        <f t="shared" si="0"/>
        <v>0</v>
      </c>
      <c r="P15">
        <f t="shared" si="1"/>
        <v>0</v>
      </c>
      <c r="Q15">
        <f t="shared" si="2"/>
        <v>0</v>
      </c>
      <c r="R15">
        <v>726606.28</v>
      </c>
      <c r="S15">
        <f t="shared" si="4"/>
        <v>777558.33479999995</v>
      </c>
      <c r="T15">
        <f t="shared" si="3"/>
        <v>50952.054799999925</v>
      </c>
    </row>
    <row r="16" spans="1:20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  <c r="O16">
        <f t="shared" si="0"/>
        <v>0</v>
      </c>
      <c r="P16">
        <f t="shared" si="1"/>
        <v>0</v>
      </c>
      <c r="Q16">
        <f t="shared" si="2"/>
        <v>0</v>
      </c>
      <c r="R16">
        <v>746501.09</v>
      </c>
      <c r="S16">
        <f t="shared" si="4"/>
        <v>754283.32489999989</v>
      </c>
      <c r="T16">
        <f t="shared" si="3"/>
        <v>7782.2348999999231</v>
      </c>
    </row>
    <row r="17" spans="1:20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  <c r="O17">
        <f t="shared" si="0"/>
        <v>0</v>
      </c>
      <c r="P17">
        <f t="shared" si="1"/>
        <v>0</v>
      </c>
      <c r="Q17">
        <f t="shared" si="2"/>
        <v>0</v>
      </c>
      <c r="R17">
        <v>834017.02</v>
      </c>
      <c r="S17">
        <f t="shared" si="4"/>
        <v>807204.96989999991</v>
      </c>
      <c r="T17">
        <f t="shared" si="3"/>
        <v>-26812.05010000011</v>
      </c>
    </row>
    <row r="18" spans="1:20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  <c r="O18">
        <f t="shared" si="0"/>
        <v>0</v>
      </c>
      <c r="P18">
        <f t="shared" si="1"/>
        <v>1</v>
      </c>
      <c r="Q18">
        <f t="shared" si="2"/>
        <v>0</v>
      </c>
      <c r="R18">
        <v>666152.52</v>
      </c>
      <c r="S18">
        <f t="shared" si="4"/>
        <v>697655.42879999999</v>
      </c>
      <c r="T18">
        <f t="shared" si="3"/>
        <v>31502.908799999976</v>
      </c>
    </row>
    <row r="19" spans="1:20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  <c r="O19">
        <f t="shared" si="0"/>
        <v>0</v>
      </c>
      <c r="P19">
        <f t="shared" si="1"/>
        <v>1</v>
      </c>
      <c r="Q19">
        <f t="shared" si="2"/>
        <v>0</v>
      </c>
      <c r="R19">
        <v>573155.18999999994</v>
      </c>
      <c r="S19">
        <f t="shared" si="4"/>
        <v>615014.10699999996</v>
      </c>
      <c r="T19">
        <f t="shared" si="3"/>
        <v>41858.917000000016</v>
      </c>
    </row>
    <row r="20" spans="1:20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  <c r="O20">
        <f t="shared" si="0"/>
        <v>0</v>
      </c>
      <c r="P20">
        <f t="shared" si="1"/>
        <v>1</v>
      </c>
      <c r="Q20">
        <f t="shared" si="2"/>
        <v>0</v>
      </c>
      <c r="R20">
        <v>666573.19999999995</v>
      </c>
      <c r="S20">
        <f t="shared" si="4"/>
        <v>699975.45380000002</v>
      </c>
      <c r="T20">
        <f t="shared" si="3"/>
        <v>33402.253800000064</v>
      </c>
    </row>
    <row r="21" spans="1:20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  <c r="O21">
        <f t="shared" si="0"/>
        <v>0</v>
      </c>
      <c r="P21">
        <f t="shared" si="1"/>
        <v>1</v>
      </c>
      <c r="Q21">
        <f t="shared" si="2"/>
        <v>0</v>
      </c>
      <c r="R21">
        <v>591619.94999999995</v>
      </c>
      <c r="S21">
        <f t="shared" si="4"/>
        <v>616342.18969999999</v>
      </c>
      <c r="T21">
        <f t="shared" si="3"/>
        <v>24722.239700000035</v>
      </c>
    </row>
    <row r="22" spans="1:20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  <c r="O22">
        <f t="shared" si="0"/>
        <v>1</v>
      </c>
      <c r="P22">
        <f t="shared" si="1"/>
        <v>0</v>
      </c>
      <c r="Q22">
        <f t="shared" si="2"/>
        <v>0</v>
      </c>
      <c r="R22">
        <v>415721.82</v>
      </c>
      <c r="S22">
        <f t="shared" si="4"/>
        <v>512697.01120000001</v>
      </c>
      <c r="T22">
        <f t="shared" si="3"/>
        <v>96975.191200000001</v>
      </c>
    </row>
    <row r="23" spans="1:20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  <c r="O23">
        <f t="shared" si="0"/>
        <v>1</v>
      </c>
      <c r="P23">
        <f t="shared" si="1"/>
        <v>0</v>
      </c>
      <c r="Q23">
        <f t="shared" si="2"/>
        <v>0</v>
      </c>
      <c r="R23">
        <v>491905.13</v>
      </c>
      <c r="S23">
        <f t="shared" si="4"/>
        <v>503145.0122</v>
      </c>
      <c r="T23">
        <f t="shared" si="3"/>
        <v>11239.882199999993</v>
      </c>
    </row>
    <row r="24" spans="1:20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  <c r="O24">
        <f t="shared" si="0"/>
        <v>1</v>
      </c>
      <c r="P24">
        <f t="shared" si="1"/>
        <v>0</v>
      </c>
      <c r="Q24">
        <f t="shared" si="2"/>
        <v>0</v>
      </c>
      <c r="R24">
        <v>555929.4</v>
      </c>
      <c r="S24">
        <f t="shared" si="4"/>
        <v>537337.76029999997</v>
      </c>
      <c r="T24">
        <f t="shared" si="3"/>
        <v>-18591.639700000058</v>
      </c>
    </row>
    <row r="25" spans="1:20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  <c r="O25">
        <f t="shared" si="0"/>
        <v>1</v>
      </c>
      <c r="P25">
        <f t="shared" si="1"/>
        <v>0</v>
      </c>
      <c r="Q25">
        <f t="shared" si="2"/>
        <v>0</v>
      </c>
      <c r="R25">
        <v>565810.99</v>
      </c>
      <c r="S25">
        <f t="shared" si="4"/>
        <v>563919.0527</v>
      </c>
      <c r="T25">
        <f t="shared" si="3"/>
        <v>-1891.9372999999905</v>
      </c>
    </row>
    <row r="26" spans="1:20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  <c r="O26">
        <f t="shared" si="0"/>
        <v>0</v>
      </c>
      <c r="P26">
        <f t="shared" si="1"/>
        <v>0</v>
      </c>
      <c r="Q26">
        <f t="shared" si="2"/>
        <v>1</v>
      </c>
      <c r="R26">
        <v>811771.14</v>
      </c>
      <c r="S26">
        <f t="shared" si="4"/>
        <v>830860.70909999998</v>
      </c>
      <c r="T26">
        <f t="shared" si="3"/>
        <v>19089.569099999964</v>
      </c>
    </row>
    <row r="27" spans="1:20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  <c r="O27">
        <f t="shared" si="0"/>
        <v>0</v>
      </c>
      <c r="P27">
        <f t="shared" si="1"/>
        <v>0</v>
      </c>
      <c r="Q27">
        <f t="shared" si="2"/>
        <v>1</v>
      </c>
      <c r="R27">
        <v>800451.94</v>
      </c>
      <c r="S27">
        <f t="shared" si="4"/>
        <v>899413.34080000001</v>
      </c>
      <c r="T27">
        <f t="shared" si="3"/>
        <v>98961.400800000061</v>
      </c>
    </row>
    <row r="28" spans="1:20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  <c r="O28">
        <f t="shared" si="0"/>
        <v>0</v>
      </c>
      <c r="P28">
        <f t="shared" si="1"/>
        <v>0</v>
      </c>
      <c r="Q28">
        <f t="shared" si="2"/>
        <v>1</v>
      </c>
      <c r="R28">
        <v>783672.82</v>
      </c>
      <c r="S28">
        <f t="shared" si="4"/>
        <v>789216.14780000004</v>
      </c>
      <c r="T28">
        <f t="shared" si="3"/>
        <v>5543.3278000000864</v>
      </c>
    </row>
    <row r="29" spans="1:20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  <c r="O29">
        <f t="shared" si="0"/>
        <v>0</v>
      </c>
      <c r="P29">
        <f t="shared" si="1"/>
        <v>0</v>
      </c>
      <c r="Q29">
        <f t="shared" si="2"/>
        <v>1</v>
      </c>
      <c r="R29">
        <v>701641.97</v>
      </c>
      <c r="S29">
        <f t="shared" si="4"/>
        <v>693618.94099999999</v>
      </c>
      <c r="T29">
        <f t="shared" si="3"/>
        <v>-8023.0289999999804</v>
      </c>
    </row>
    <row r="30" spans="1:20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  <c r="O30">
        <f t="shared" si="0"/>
        <v>0</v>
      </c>
      <c r="P30">
        <f t="shared" si="1"/>
        <v>0</v>
      </c>
      <c r="Q30">
        <f t="shared" si="2"/>
        <v>0</v>
      </c>
      <c r="R30">
        <v>511844.41</v>
      </c>
      <c r="S30">
        <f t="shared" si="4"/>
        <v>587716.45779999997</v>
      </c>
      <c r="T30">
        <f t="shared" si="3"/>
        <v>75872.0478</v>
      </c>
    </row>
    <row r="31" spans="1:20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  <c r="O31">
        <f t="shared" si="0"/>
        <v>0</v>
      </c>
      <c r="P31">
        <f t="shared" si="1"/>
        <v>0</v>
      </c>
      <c r="Q31">
        <f t="shared" si="2"/>
        <v>0</v>
      </c>
      <c r="R31">
        <v>537383.79</v>
      </c>
      <c r="S31">
        <f t="shared" si="4"/>
        <v>534183.29370000004</v>
      </c>
      <c r="T31">
        <f t="shared" si="3"/>
        <v>-3200.4962999999989</v>
      </c>
    </row>
    <row r="32" spans="1:20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  <c r="O32">
        <f t="shared" si="0"/>
        <v>0</v>
      </c>
      <c r="P32">
        <f t="shared" si="1"/>
        <v>0</v>
      </c>
      <c r="Q32">
        <f t="shared" si="2"/>
        <v>0</v>
      </c>
      <c r="R32">
        <v>500173.02</v>
      </c>
      <c r="S32">
        <f t="shared" si="4"/>
        <v>515542.67119999998</v>
      </c>
      <c r="T32">
        <f t="shared" si="3"/>
        <v>15369.651199999964</v>
      </c>
    </row>
    <row r="33" spans="1:20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  <c r="O33">
        <f t="shared" si="0"/>
        <v>0</v>
      </c>
      <c r="P33">
        <f t="shared" si="1"/>
        <v>0</v>
      </c>
      <c r="Q33">
        <f t="shared" si="2"/>
        <v>0</v>
      </c>
      <c r="R33">
        <v>427917.38</v>
      </c>
      <c r="S33">
        <f t="shared" si="4"/>
        <v>500786.61550000001</v>
      </c>
      <c r="T33">
        <f t="shared" si="3"/>
        <v>72869.23550000001</v>
      </c>
    </row>
    <row r="34" spans="1:20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  <c r="O34">
        <f t="shared" si="0"/>
        <v>1</v>
      </c>
      <c r="P34">
        <f t="shared" si="1"/>
        <v>0</v>
      </c>
      <c r="Q34">
        <f t="shared" si="2"/>
        <v>0</v>
      </c>
      <c r="R34">
        <v>641865.03</v>
      </c>
      <c r="S34">
        <f t="shared" si="4"/>
        <v>761096.23069999996</v>
      </c>
      <c r="T34">
        <f t="shared" si="3"/>
        <v>119231.20069999993</v>
      </c>
    </row>
    <row r="35" spans="1:20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L35">
        <v>3.92</v>
      </c>
      <c r="M35">
        <v>799477.76000000001</v>
      </c>
      <c r="N35">
        <v>164974.41</v>
      </c>
      <c r="O35">
        <f t="shared" si="0"/>
        <v>1</v>
      </c>
      <c r="P35">
        <f t="shared" si="1"/>
        <v>0</v>
      </c>
      <c r="Q35">
        <f t="shared" si="2"/>
        <v>0</v>
      </c>
      <c r="R35">
        <v>799477.76000000001</v>
      </c>
      <c r="S35">
        <f t="shared" si="4"/>
        <v>864608.29989999998</v>
      </c>
      <c r="T35">
        <f t="shared" si="3"/>
        <v>65130.539899999974</v>
      </c>
    </row>
    <row r="36" spans="1:20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  <c r="O36">
        <f t="shared" si="0"/>
        <v>1</v>
      </c>
      <c r="P36">
        <f t="shared" si="1"/>
        <v>0</v>
      </c>
      <c r="Q36">
        <f t="shared" si="2"/>
        <v>0</v>
      </c>
      <c r="R36">
        <v>798952.17</v>
      </c>
      <c r="S36">
        <f t="shared" si="4"/>
        <v>810154.97820000001</v>
      </c>
      <c r="T36">
        <f t="shared" si="3"/>
        <v>11202.80819999997</v>
      </c>
    </row>
    <row r="37" spans="1:20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  <c r="O37">
        <f t="shared" si="0"/>
        <v>1</v>
      </c>
      <c r="P37">
        <f t="shared" si="1"/>
        <v>0</v>
      </c>
      <c r="Q37">
        <f t="shared" si="2"/>
        <v>0</v>
      </c>
      <c r="R37">
        <v>800979.78</v>
      </c>
      <c r="S37">
        <f t="shared" si="4"/>
        <v>837509.27629999991</v>
      </c>
      <c r="T37">
        <f t="shared" si="3"/>
        <v>36529.496299999882</v>
      </c>
    </row>
    <row r="38" spans="1:20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  <c r="O38">
        <f t="shared" si="0"/>
        <v>1</v>
      </c>
      <c r="P38">
        <f t="shared" si="1"/>
        <v>0</v>
      </c>
      <c r="Q38">
        <f t="shared" si="2"/>
        <v>0</v>
      </c>
      <c r="R38">
        <v>820593.93</v>
      </c>
      <c r="S38">
        <f t="shared" si="4"/>
        <v>765115.14630000002</v>
      </c>
      <c r="T38">
        <f t="shared" si="3"/>
        <v>-55478.783700000029</v>
      </c>
    </row>
    <row r="39" spans="1:20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  <c r="O39">
        <f t="shared" si="0"/>
        <v>1</v>
      </c>
      <c r="P39">
        <f t="shared" si="1"/>
        <v>0</v>
      </c>
      <c r="Q39">
        <f t="shared" si="2"/>
        <v>0</v>
      </c>
      <c r="R39">
        <v>718330.53</v>
      </c>
      <c r="S39">
        <f t="shared" si="4"/>
        <v>752945.15689999994</v>
      </c>
      <c r="T39">
        <f t="shared" si="3"/>
        <v>34614.626899999916</v>
      </c>
    </row>
    <row r="40" spans="1:20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  <c r="O40">
        <f t="shared" si="0"/>
        <v>1</v>
      </c>
      <c r="P40">
        <f t="shared" si="1"/>
        <v>0</v>
      </c>
      <c r="Q40">
        <f t="shared" si="2"/>
        <v>0</v>
      </c>
      <c r="R40">
        <v>736633.4</v>
      </c>
      <c r="S40">
        <f t="shared" si="4"/>
        <v>742885.93839999998</v>
      </c>
      <c r="T40">
        <f t="shared" si="3"/>
        <v>6252.5383999999613</v>
      </c>
    </row>
    <row r="41" spans="1:20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  <c r="O41">
        <f t="shared" si="0"/>
        <v>1</v>
      </c>
      <c r="P41">
        <f t="shared" si="1"/>
        <v>0</v>
      </c>
      <c r="Q41">
        <f t="shared" si="2"/>
        <v>0</v>
      </c>
      <c r="R41">
        <v>828623.85</v>
      </c>
      <c r="S41">
        <f t="shared" si="4"/>
        <v>821486.49910000002</v>
      </c>
      <c r="T41">
        <f t="shared" si="3"/>
        <v>-7137.3508999999613</v>
      </c>
    </row>
    <row r="42" spans="1:20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  <c r="O42">
        <f t="shared" si="0"/>
        <v>0</v>
      </c>
      <c r="P42">
        <f t="shared" si="1"/>
        <v>0</v>
      </c>
      <c r="Q42">
        <f t="shared" si="2"/>
        <v>0</v>
      </c>
      <c r="R42">
        <v>592195.85</v>
      </c>
      <c r="S42">
        <f t="shared" si="4"/>
        <v>571869.00060000003</v>
      </c>
      <c r="T42">
        <f t="shared" si="3"/>
        <v>-20326.849399999948</v>
      </c>
    </row>
    <row r="43" spans="1:20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  <c r="O43">
        <f t="shared" si="0"/>
        <v>0</v>
      </c>
      <c r="P43">
        <f t="shared" si="1"/>
        <v>0</v>
      </c>
      <c r="Q43">
        <f t="shared" si="2"/>
        <v>0</v>
      </c>
      <c r="R43">
        <v>532644.46</v>
      </c>
      <c r="S43">
        <f t="shared" si="4"/>
        <v>508139.25119999994</v>
      </c>
      <c r="T43">
        <f t="shared" si="3"/>
        <v>-24505.208800000022</v>
      </c>
    </row>
    <row r="44" spans="1:20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  <c r="O44">
        <f t="shared" si="0"/>
        <v>0</v>
      </c>
      <c r="P44">
        <f t="shared" si="1"/>
        <v>0</v>
      </c>
      <c r="Q44">
        <f t="shared" si="2"/>
        <v>0</v>
      </c>
      <c r="R44">
        <v>657429.18000000005</v>
      </c>
      <c r="S44">
        <f t="shared" si="4"/>
        <v>574841.90460000001</v>
      </c>
      <c r="T44">
        <f t="shared" si="3"/>
        <v>-82587.275400000042</v>
      </c>
    </row>
    <row r="45" spans="1:20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  <c r="O45">
        <f t="shared" si="0"/>
        <v>0</v>
      </c>
      <c r="P45">
        <f t="shared" si="1"/>
        <v>0</v>
      </c>
      <c r="Q45">
        <f t="shared" si="2"/>
        <v>0</v>
      </c>
      <c r="R45">
        <v>605178</v>
      </c>
      <c r="S45">
        <f t="shared" si="4"/>
        <v>579463.43460000004</v>
      </c>
      <c r="T45">
        <f t="shared" si="3"/>
        <v>-25714.565399999963</v>
      </c>
    </row>
    <row r="46" spans="1:20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  <c r="O46">
        <f t="shared" si="0"/>
        <v>0</v>
      </c>
      <c r="P46">
        <f t="shared" si="1"/>
        <v>0</v>
      </c>
      <c r="Q46">
        <f t="shared" si="2"/>
        <v>1</v>
      </c>
      <c r="R46">
        <v>595467.6</v>
      </c>
      <c r="S46">
        <f t="shared" si="4"/>
        <v>737017.00890000002</v>
      </c>
      <c r="T46">
        <f t="shared" si="3"/>
        <v>141549.40890000004</v>
      </c>
    </row>
    <row r="47" spans="1:20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  <c r="O47">
        <f t="shared" si="0"/>
        <v>0</v>
      </c>
      <c r="P47">
        <f t="shared" si="1"/>
        <v>0</v>
      </c>
      <c r="Q47">
        <f t="shared" si="2"/>
        <v>1</v>
      </c>
      <c r="R47">
        <v>599603.4</v>
      </c>
      <c r="S47">
        <f t="shared" si="4"/>
        <v>653607.33589999995</v>
      </c>
      <c r="T47">
        <f t="shared" si="3"/>
        <v>54003.935899999924</v>
      </c>
    </row>
    <row r="48" spans="1:20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  <c r="O48">
        <f t="shared" si="0"/>
        <v>0</v>
      </c>
      <c r="P48">
        <f t="shared" si="1"/>
        <v>0</v>
      </c>
      <c r="Q48">
        <f t="shared" si="2"/>
        <v>1</v>
      </c>
      <c r="R48">
        <v>614800.09</v>
      </c>
      <c r="S48">
        <f t="shared" si="4"/>
        <v>593520.39249999996</v>
      </c>
      <c r="T48">
        <f t="shared" si="3"/>
        <v>-21279.697500000009</v>
      </c>
    </row>
    <row r="49" spans="1:20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  <c r="O49">
        <f t="shared" si="0"/>
        <v>0</v>
      </c>
      <c r="P49">
        <f t="shared" si="1"/>
        <v>0</v>
      </c>
      <c r="Q49">
        <f t="shared" si="2"/>
        <v>1</v>
      </c>
      <c r="R49">
        <v>585365.73</v>
      </c>
      <c r="S49">
        <f t="shared" si="4"/>
        <v>585032.20959999994</v>
      </c>
      <c r="T49">
        <f t="shared" si="3"/>
        <v>-333.52040000003763</v>
      </c>
    </row>
    <row r="50" spans="1:20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  <c r="O50">
        <f t="shared" si="0"/>
        <v>1</v>
      </c>
      <c r="P50">
        <f t="shared" si="1"/>
        <v>0</v>
      </c>
      <c r="Q50">
        <f t="shared" si="2"/>
        <v>0</v>
      </c>
      <c r="R50">
        <v>622811.74</v>
      </c>
      <c r="S50">
        <f t="shared" si="4"/>
        <v>644574.62249999994</v>
      </c>
      <c r="T50">
        <f t="shared" si="3"/>
        <v>21762.882499999949</v>
      </c>
    </row>
    <row r="51" spans="1:20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  <c r="O51">
        <f t="shared" si="0"/>
        <v>1</v>
      </c>
      <c r="P51">
        <f t="shared" si="1"/>
        <v>0</v>
      </c>
      <c r="Q51">
        <f t="shared" si="2"/>
        <v>0</v>
      </c>
      <c r="R51">
        <v>603297.56999999995</v>
      </c>
      <c r="S51">
        <f t="shared" si="4"/>
        <v>589539.17509999999</v>
      </c>
      <c r="T51">
        <f t="shared" si="3"/>
        <v>-13758.394899999956</v>
      </c>
    </row>
    <row r="52" spans="1:20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  <c r="O52">
        <f t="shared" si="0"/>
        <v>1</v>
      </c>
      <c r="P52">
        <f t="shared" si="1"/>
        <v>0</v>
      </c>
      <c r="Q52">
        <f t="shared" si="2"/>
        <v>0</v>
      </c>
      <c r="R52">
        <v>625672.86</v>
      </c>
      <c r="S52">
        <f t="shared" si="4"/>
        <v>600484.81550000003</v>
      </c>
      <c r="T52">
        <f t="shared" si="3"/>
        <v>-25188.04449999996</v>
      </c>
    </row>
    <row r="53" spans="1:20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  <c r="O53">
        <f t="shared" si="0"/>
        <v>1</v>
      </c>
      <c r="P53">
        <f t="shared" si="1"/>
        <v>0</v>
      </c>
      <c r="Q53">
        <f t="shared" si="2"/>
        <v>0</v>
      </c>
      <c r="R53">
        <v>773815.14</v>
      </c>
      <c r="S53">
        <f t="shared" si="4"/>
        <v>727287.26009999996</v>
      </c>
      <c r="T53">
        <f t="shared" si="3"/>
        <v>-46527.879900000058</v>
      </c>
    </row>
    <row r="54" spans="1:20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  <c r="O54">
        <f t="shared" si="0"/>
        <v>0</v>
      </c>
      <c r="P54">
        <f t="shared" si="1"/>
        <v>0</v>
      </c>
      <c r="Q54">
        <f t="shared" si="2"/>
        <v>1</v>
      </c>
      <c r="R54">
        <v>463534.25</v>
      </c>
      <c r="S54">
        <f t="shared" si="4"/>
        <v>560674.91040000005</v>
      </c>
      <c r="T54">
        <f t="shared" si="3"/>
        <v>97140.660400000052</v>
      </c>
    </row>
    <row r="55" spans="1:20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  <c r="O55">
        <f t="shared" si="0"/>
        <v>0</v>
      </c>
      <c r="P55">
        <f t="shared" si="1"/>
        <v>0</v>
      </c>
      <c r="Q55">
        <f t="shared" si="2"/>
        <v>1</v>
      </c>
      <c r="R55">
        <v>746677.75</v>
      </c>
      <c r="S55">
        <f t="shared" si="4"/>
        <v>717169.66890000005</v>
      </c>
      <c r="T55">
        <f t="shared" si="3"/>
        <v>-29508.081099999952</v>
      </c>
    </row>
    <row r="56" spans="1:20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  <c r="O56">
        <f t="shared" si="0"/>
        <v>0</v>
      </c>
      <c r="P56">
        <f t="shared" si="1"/>
        <v>0</v>
      </c>
      <c r="Q56">
        <f t="shared" si="2"/>
        <v>1</v>
      </c>
      <c r="R56">
        <v>720852.5</v>
      </c>
      <c r="S56">
        <f t="shared" si="4"/>
        <v>680403.72499999998</v>
      </c>
      <c r="T56">
        <f t="shared" si="3"/>
        <v>-40448.775000000023</v>
      </c>
    </row>
    <row r="57" spans="1:20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  <c r="O57">
        <f t="shared" si="0"/>
        <v>0</v>
      </c>
      <c r="P57">
        <f t="shared" si="1"/>
        <v>0</v>
      </c>
      <c r="Q57">
        <f t="shared" si="2"/>
        <v>1</v>
      </c>
      <c r="R57">
        <v>487464.91</v>
      </c>
      <c r="S57">
        <f t="shared" si="4"/>
        <v>530679.87699999998</v>
      </c>
      <c r="T57">
        <f t="shared" si="3"/>
        <v>43214.967000000004</v>
      </c>
    </row>
    <row r="58" spans="1:20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  <c r="O58">
        <f t="shared" si="0"/>
        <v>0</v>
      </c>
      <c r="P58">
        <f t="shared" si="1"/>
        <v>0</v>
      </c>
      <c r="Q58">
        <f t="shared" si="2"/>
        <v>0</v>
      </c>
      <c r="R58">
        <v>518049.26</v>
      </c>
      <c r="S58">
        <f t="shared" si="4"/>
        <v>502213.89939999999</v>
      </c>
      <c r="T58">
        <f t="shared" si="3"/>
        <v>-15835.360600000015</v>
      </c>
    </row>
    <row r="59" spans="1:20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  <c r="O59">
        <f t="shared" si="0"/>
        <v>0</v>
      </c>
      <c r="P59">
        <f t="shared" si="1"/>
        <v>0</v>
      </c>
      <c r="Q59">
        <f t="shared" si="2"/>
        <v>0</v>
      </c>
      <c r="R59">
        <v>500298.48</v>
      </c>
      <c r="S59">
        <f t="shared" si="4"/>
        <v>501520.07919999992</v>
      </c>
      <c r="T59">
        <f t="shared" si="3"/>
        <v>1221.5991999999387</v>
      </c>
    </row>
    <row r="60" spans="1:20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  <c r="O60">
        <f t="shared" si="0"/>
        <v>0</v>
      </c>
      <c r="P60">
        <f t="shared" si="1"/>
        <v>0</v>
      </c>
      <c r="Q60">
        <f t="shared" si="2"/>
        <v>0</v>
      </c>
      <c r="R60">
        <v>617291.15</v>
      </c>
      <c r="S60">
        <f t="shared" si="4"/>
        <v>654655.0122</v>
      </c>
      <c r="T60">
        <f t="shared" si="3"/>
        <v>37363.862199999974</v>
      </c>
    </row>
    <row r="61" spans="1:20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  <c r="O61">
        <f t="shared" si="0"/>
        <v>0</v>
      </c>
      <c r="P61">
        <f t="shared" si="1"/>
        <v>0</v>
      </c>
      <c r="Q61">
        <f t="shared" si="2"/>
        <v>0</v>
      </c>
      <c r="R61">
        <v>553756.43000000005</v>
      </c>
      <c r="S61">
        <f t="shared" si="4"/>
        <v>592415.72879999992</v>
      </c>
      <c r="T61">
        <f t="shared" si="3"/>
        <v>38659.298799999873</v>
      </c>
    </row>
    <row r="62" spans="1:20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  <c r="O62">
        <f t="shared" si="0"/>
        <v>0</v>
      </c>
      <c r="P62">
        <f t="shared" si="1"/>
        <v>1</v>
      </c>
      <c r="Q62">
        <f t="shared" si="2"/>
        <v>0</v>
      </c>
      <c r="R62">
        <v>749559.71</v>
      </c>
      <c r="S62">
        <f t="shared" si="4"/>
        <v>691676.39219999989</v>
      </c>
      <c r="T62">
        <f t="shared" si="3"/>
        <v>-57883.317800000077</v>
      </c>
    </row>
    <row r="63" spans="1:20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  <c r="O63">
        <f t="shared" si="0"/>
        <v>0</v>
      </c>
      <c r="P63">
        <f t="shared" si="1"/>
        <v>1</v>
      </c>
      <c r="Q63">
        <f t="shared" si="2"/>
        <v>0</v>
      </c>
      <c r="R63">
        <v>615966.48</v>
      </c>
      <c r="S63">
        <f t="shared" si="4"/>
        <v>574586.07039999997</v>
      </c>
      <c r="T63">
        <f t="shared" si="3"/>
        <v>-41380.409600000014</v>
      </c>
    </row>
    <row r="64" spans="1:20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  <c r="O64">
        <f t="shared" si="0"/>
        <v>0</v>
      </c>
      <c r="P64">
        <f t="shared" si="1"/>
        <v>1</v>
      </c>
      <c r="Q64">
        <f t="shared" si="2"/>
        <v>0</v>
      </c>
      <c r="R64">
        <v>572011.19999999995</v>
      </c>
      <c r="S64">
        <f t="shared" si="4"/>
        <v>593514.57309999992</v>
      </c>
      <c r="T64">
        <f t="shared" si="3"/>
        <v>21503.373099999968</v>
      </c>
    </row>
    <row r="65" spans="1:20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  <c r="O65">
        <f t="shared" si="0"/>
        <v>0</v>
      </c>
      <c r="P65">
        <f t="shared" si="1"/>
        <v>1</v>
      </c>
      <c r="Q65">
        <f t="shared" si="2"/>
        <v>0</v>
      </c>
      <c r="R65">
        <v>761860.19</v>
      </c>
      <c r="S65">
        <f t="shared" si="4"/>
        <v>723554.95029999991</v>
      </c>
      <c r="T65">
        <f t="shared" si="3"/>
        <v>-38305.239700000035</v>
      </c>
    </row>
    <row r="66" spans="1:20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  <c r="O66">
        <f t="shared" si="0"/>
        <v>0</v>
      </c>
      <c r="P66">
        <f t="shared" si="1"/>
        <v>0</v>
      </c>
      <c r="Q66">
        <f t="shared" si="2"/>
        <v>1</v>
      </c>
      <c r="R66">
        <v>784502.68</v>
      </c>
      <c r="S66">
        <f t="shared" si="4"/>
        <v>811068.66989999998</v>
      </c>
      <c r="T66">
        <f t="shared" si="3"/>
        <v>26565.989899999928</v>
      </c>
    </row>
    <row r="67" spans="1:20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  <c r="O67">
        <f t="shared" ref="O67:O130" si="5">IF(C67="North",1,0)</f>
        <v>0</v>
      </c>
      <c r="P67">
        <f t="shared" ref="P67:P130" si="6">IF(C67="South",1,0)</f>
        <v>0</v>
      </c>
      <c r="Q67">
        <f t="shared" ref="Q67:Q130" si="7">IF(C67="West",1,0)</f>
        <v>1</v>
      </c>
      <c r="R67">
        <v>717141.55</v>
      </c>
      <c r="S67">
        <f t="shared" si="4"/>
        <v>741685.41410000005</v>
      </c>
      <c r="T67">
        <f t="shared" ref="T67:T130" si="8">S67-R67</f>
        <v>24543.864100000006</v>
      </c>
    </row>
    <row r="68" spans="1:20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  <c r="O68">
        <f t="shared" si="5"/>
        <v>0</v>
      </c>
      <c r="P68">
        <f t="shared" si="6"/>
        <v>0</v>
      </c>
      <c r="Q68">
        <f t="shared" si="7"/>
        <v>1</v>
      </c>
      <c r="R68">
        <v>685379.08</v>
      </c>
      <c r="S68">
        <f t="shared" ref="S68:S131" si="9">131460.31+(1.19*E68)+(33.87*F68)+(2818.21*I68)+(10547.38*O68)+(21940.49*P68)+(17491.37*Q68)</f>
        <v>848476.6889999999</v>
      </c>
      <c r="T68">
        <f t="shared" si="8"/>
        <v>163097.60899999994</v>
      </c>
    </row>
    <row r="69" spans="1:20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  <c r="O69">
        <f t="shared" si="5"/>
        <v>0</v>
      </c>
      <c r="P69">
        <f t="shared" si="6"/>
        <v>0</v>
      </c>
      <c r="Q69">
        <f t="shared" si="7"/>
        <v>1</v>
      </c>
      <c r="R69">
        <v>740496.65</v>
      </c>
      <c r="S69">
        <f t="shared" si="9"/>
        <v>738650.77399999998</v>
      </c>
      <c r="T69">
        <f t="shared" si="8"/>
        <v>-1845.8760000000475</v>
      </c>
    </row>
    <row r="70" spans="1:20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  <c r="O70">
        <f t="shared" si="5"/>
        <v>0</v>
      </c>
      <c r="P70">
        <f t="shared" si="6"/>
        <v>0</v>
      </c>
      <c r="Q70">
        <f t="shared" si="7"/>
        <v>0</v>
      </c>
      <c r="R70">
        <v>661927.14</v>
      </c>
      <c r="S70">
        <f t="shared" si="9"/>
        <v>588177.1446</v>
      </c>
      <c r="T70">
        <f t="shared" si="8"/>
        <v>-73749.995400000014</v>
      </c>
    </row>
    <row r="71" spans="1:20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  <c r="O71">
        <f t="shared" si="5"/>
        <v>0</v>
      </c>
      <c r="P71">
        <f t="shared" si="6"/>
        <v>0</v>
      </c>
      <c r="Q71">
        <f t="shared" si="7"/>
        <v>0</v>
      </c>
      <c r="R71">
        <v>479050.5</v>
      </c>
      <c r="S71">
        <f t="shared" si="9"/>
        <v>501785.47349999996</v>
      </c>
      <c r="T71">
        <f t="shared" si="8"/>
        <v>22734.973499999964</v>
      </c>
    </row>
    <row r="72" spans="1:20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  <c r="O72">
        <f t="shared" si="5"/>
        <v>0</v>
      </c>
      <c r="P72">
        <f t="shared" si="6"/>
        <v>0</v>
      </c>
      <c r="Q72">
        <f t="shared" si="7"/>
        <v>0</v>
      </c>
      <c r="R72">
        <v>605023.87</v>
      </c>
      <c r="S72">
        <f t="shared" si="9"/>
        <v>590690.4757999999</v>
      </c>
      <c r="T72">
        <f t="shared" si="8"/>
        <v>-14333.394200000097</v>
      </c>
    </row>
    <row r="73" spans="1:20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J73">
        <v>4.45</v>
      </c>
      <c r="K73">
        <v>0</v>
      </c>
      <c r="L73">
        <v>3.5</v>
      </c>
      <c r="M73">
        <v>674774.09</v>
      </c>
      <c r="N73">
        <v>141917.59</v>
      </c>
      <c r="O73">
        <f t="shared" si="5"/>
        <v>0</v>
      </c>
      <c r="P73">
        <f t="shared" si="6"/>
        <v>0</v>
      </c>
      <c r="Q73">
        <f t="shared" si="7"/>
        <v>0</v>
      </c>
      <c r="R73">
        <v>674774.09</v>
      </c>
      <c r="S73">
        <f t="shared" si="9"/>
        <v>630786.32039999997</v>
      </c>
      <c r="T73">
        <f t="shared" si="8"/>
        <v>-43987.7696</v>
      </c>
    </row>
    <row r="74" spans="1:20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  <c r="O74">
        <f t="shared" si="5"/>
        <v>0</v>
      </c>
      <c r="P74">
        <f t="shared" si="6"/>
        <v>0</v>
      </c>
      <c r="Q74">
        <f t="shared" si="7"/>
        <v>0</v>
      </c>
      <c r="R74">
        <v>616069.41</v>
      </c>
      <c r="S74">
        <f t="shared" si="9"/>
        <v>608957.65539999993</v>
      </c>
      <c r="T74">
        <f t="shared" si="8"/>
        <v>-7111.7546000001021</v>
      </c>
    </row>
    <row r="75" spans="1:20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  <c r="O75">
        <f t="shared" si="5"/>
        <v>0</v>
      </c>
      <c r="P75">
        <f t="shared" si="6"/>
        <v>0</v>
      </c>
      <c r="Q75">
        <f t="shared" si="7"/>
        <v>0</v>
      </c>
      <c r="R75">
        <v>630829.93999999994</v>
      </c>
      <c r="S75">
        <f t="shared" si="9"/>
        <v>693068.12079999992</v>
      </c>
      <c r="T75">
        <f t="shared" si="8"/>
        <v>62238.180799999973</v>
      </c>
    </row>
    <row r="76" spans="1:20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  <c r="O76">
        <f t="shared" si="5"/>
        <v>0</v>
      </c>
      <c r="P76">
        <f t="shared" si="6"/>
        <v>0</v>
      </c>
      <c r="Q76">
        <f t="shared" si="7"/>
        <v>0</v>
      </c>
      <c r="R76">
        <v>788087.68</v>
      </c>
      <c r="S76">
        <f t="shared" si="9"/>
        <v>707827.16919999989</v>
      </c>
      <c r="T76">
        <f t="shared" si="8"/>
        <v>-80260.510800000164</v>
      </c>
    </row>
    <row r="77" spans="1:20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  <c r="O77">
        <f t="shared" si="5"/>
        <v>0</v>
      </c>
      <c r="P77">
        <f t="shared" si="6"/>
        <v>0</v>
      </c>
      <c r="Q77">
        <f t="shared" si="7"/>
        <v>0</v>
      </c>
      <c r="R77">
        <v>680840.36</v>
      </c>
      <c r="S77">
        <f t="shared" si="9"/>
        <v>720979.1017</v>
      </c>
      <c r="T77">
        <f t="shared" si="8"/>
        <v>40138.741700000013</v>
      </c>
    </row>
    <row r="78" spans="1:20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  <c r="O78">
        <f t="shared" si="5"/>
        <v>0</v>
      </c>
      <c r="P78">
        <f t="shared" si="6"/>
        <v>1</v>
      </c>
      <c r="Q78">
        <f t="shared" si="7"/>
        <v>0</v>
      </c>
      <c r="R78">
        <v>643657.47</v>
      </c>
      <c r="S78">
        <f t="shared" si="9"/>
        <v>665815.74119999993</v>
      </c>
      <c r="T78">
        <f t="shared" si="8"/>
        <v>22158.271199999959</v>
      </c>
    </row>
    <row r="79" spans="1:20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  <c r="O79">
        <f t="shared" si="5"/>
        <v>0</v>
      </c>
      <c r="P79">
        <f t="shared" si="6"/>
        <v>1</v>
      </c>
      <c r="Q79">
        <f t="shared" si="7"/>
        <v>0</v>
      </c>
      <c r="R79">
        <v>691112.6</v>
      </c>
      <c r="S79">
        <f t="shared" si="9"/>
        <v>661307.5297999999</v>
      </c>
      <c r="T79">
        <f t="shared" si="8"/>
        <v>-29805.070200000075</v>
      </c>
    </row>
    <row r="80" spans="1:20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  <c r="O80">
        <f t="shared" si="5"/>
        <v>0</v>
      </c>
      <c r="P80">
        <f t="shared" si="6"/>
        <v>1</v>
      </c>
      <c r="Q80">
        <f t="shared" si="7"/>
        <v>0</v>
      </c>
      <c r="R80">
        <v>776922.17</v>
      </c>
      <c r="S80">
        <f t="shared" si="9"/>
        <v>737599.97889999999</v>
      </c>
      <c r="T80">
        <f t="shared" si="8"/>
        <v>-39322.191100000055</v>
      </c>
    </row>
    <row r="81" spans="1:20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  <c r="O81">
        <f t="shared" si="5"/>
        <v>0</v>
      </c>
      <c r="P81">
        <f t="shared" si="6"/>
        <v>1</v>
      </c>
      <c r="Q81">
        <f t="shared" si="7"/>
        <v>0</v>
      </c>
      <c r="R81">
        <v>636561.34</v>
      </c>
      <c r="S81">
        <f t="shared" si="9"/>
        <v>677680.53399999999</v>
      </c>
      <c r="T81">
        <f t="shared" si="8"/>
        <v>41119.194000000018</v>
      </c>
    </row>
    <row r="82" spans="1:20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  <c r="O82">
        <f t="shared" si="5"/>
        <v>0</v>
      </c>
      <c r="P82">
        <f t="shared" si="6"/>
        <v>0</v>
      </c>
      <c r="Q82">
        <f t="shared" si="7"/>
        <v>1</v>
      </c>
      <c r="R82">
        <v>621369.57999999996</v>
      </c>
      <c r="S82">
        <f t="shared" si="9"/>
        <v>641084.60089999996</v>
      </c>
      <c r="T82">
        <f t="shared" si="8"/>
        <v>19715.020900000003</v>
      </c>
    </row>
    <row r="83" spans="1:20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  <c r="O83">
        <f t="shared" si="5"/>
        <v>0</v>
      </c>
      <c r="P83">
        <f t="shared" si="6"/>
        <v>0</v>
      </c>
      <c r="Q83">
        <f t="shared" si="7"/>
        <v>1</v>
      </c>
      <c r="R83">
        <v>682208.01</v>
      </c>
      <c r="S83">
        <f t="shared" si="9"/>
        <v>624366.43819999998</v>
      </c>
      <c r="T83">
        <f t="shared" si="8"/>
        <v>-57841.571800000034</v>
      </c>
    </row>
    <row r="84" spans="1:20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  <c r="O84">
        <f t="shared" si="5"/>
        <v>0</v>
      </c>
      <c r="P84">
        <f t="shared" si="6"/>
        <v>0</v>
      </c>
      <c r="Q84">
        <f t="shared" si="7"/>
        <v>1</v>
      </c>
      <c r="R84">
        <v>727241.86</v>
      </c>
      <c r="S84">
        <f t="shared" si="9"/>
        <v>638260.10759999999</v>
      </c>
      <c r="T84">
        <f t="shared" si="8"/>
        <v>-88981.752399999998</v>
      </c>
    </row>
    <row r="85" spans="1:20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  <c r="O85">
        <f t="shared" si="5"/>
        <v>0</v>
      </c>
      <c r="P85">
        <f t="shared" si="6"/>
        <v>0</v>
      </c>
      <c r="Q85">
        <f t="shared" si="7"/>
        <v>1</v>
      </c>
      <c r="R85">
        <v>569100.78</v>
      </c>
      <c r="S85">
        <f t="shared" si="9"/>
        <v>548503.46089999995</v>
      </c>
      <c r="T85">
        <f t="shared" si="8"/>
        <v>-20597.319100000081</v>
      </c>
    </row>
    <row r="86" spans="1:20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  <c r="O86">
        <f t="shared" si="5"/>
        <v>0</v>
      </c>
      <c r="P86">
        <f t="shared" si="6"/>
        <v>0</v>
      </c>
      <c r="Q86">
        <f t="shared" si="7"/>
        <v>1</v>
      </c>
      <c r="R86">
        <v>574436.29</v>
      </c>
      <c r="S86">
        <f t="shared" si="9"/>
        <v>560230.83490000002</v>
      </c>
      <c r="T86">
        <f t="shared" si="8"/>
        <v>-14205.455100000021</v>
      </c>
    </row>
    <row r="87" spans="1:20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L87">
        <v>3.92</v>
      </c>
      <c r="M87">
        <v>611766.72</v>
      </c>
      <c r="N87">
        <v>88275.61</v>
      </c>
      <c r="O87">
        <f t="shared" si="5"/>
        <v>0</v>
      </c>
      <c r="P87">
        <f t="shared" si="6"/>
        <v>0</v>
      </c>
      <c r="Q87">
        <f t="shared" si="7"/>
        <v>1</v>
      </c>
      <c r="R87">
        <v>611766.72</v>
      </c>
      <c r="S87">
        <f t="shared" si="9"/>
        <v>648808.74529999995</v>
      </c>
      <c r="T87">
        <f t="shared" si="8"/>
        <v>37042.025299999979</v>
      </c>
    </row>
    <row r="88" spans="1:20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  <c r="O88">
        <f t="shared" si="5"/>
        <v>0</v>
      </c>
      <c r="P88">
        <f t="shared" si="6"/>
        <v>0</v>
      </c>
      <c r="Q88">
        <f t="shared" si="7"/>
        <v>1</v>
      </c>
      <c r="R88">
        <v>614596.31999999995</v>
      </c>
      <c r="S88">
        <f t="shared" si="9"/>
        <v>619758.79790000001</v>
      </c>
      <c r="T88">
        <f t="shared" si="8"/>
        <v>5162.4779000000563</v>
      </c>
    </row>
    <row r="89" spans="1:20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  <c r="O89">
        <f t="shared" si="5"/>
        <v>0</v>
      </c>
      <c r="P89">
        <f t="shared" si="6"/>
        <v>0</v>
      </c>
      <c r="Q89">
        <f t="shared" si="7"/>
        <v>1</v>
      </c>
      <c r="R89">
        <v>450711.92</v>
      </c>
      <c r="S89">
        <f t="shared" si="9"/>
        <v>457726.84479999996</v>
      </c>
      <c r="T89">
        <f t="shared" si="8"/>
        <v>7014.9247999999789</v>
      </c>
    </row>
    <row r="90" spans="1:20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  <c r="O90">
        <f t="shared" si="5"/>
        <v>0</v>
      </c>
      <c r="P90">
        <f t="shared" si="6"/>
        <v>1</v>
      </c>
      <c r="Q90">
        <f t="shared" si="7"/>
        <v>0</v>
      </c>
      <c r="R90">
        <v>711213.46</v>
      </c>
      <c r="S90">
        <f t="shared" si="9"/>
        <v>674622.26059999992</v>
      </c>
      <c r="T90">
        <f t="shared" si="8"/>
        <v>-36591.199400000041</v>
      </c>
    </row>
    <row r="91" spans="1:20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  <c r="O91">
        <f t="shared" si="5"/>
        <v>0</v>
      </c>
      <c r="P91">
        <f t="shared" si="6"/>
        <v>1</v>
      </c>
      <c r="Q91">
        <f t="shared" si="7"/>
        <v>0</v>
      </c>
      <c r="R91">
        <v>627171.9</v>
      </c>
      <c r="S91">
        <f t="shared" si="9"/>
        <v>749916.01509999996</v>
      </c>
      <c r="T91">
        <f t="shared" si="8"/>
        <v>122744.11509999994</v>
      </c>
    </row>
    <row r="92" spans="1:20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  <c r="O92">
        <f t="shared" si="5"/>
        <v>0</v>
      </c>
      <c r="P92">
        <f t="shared" si="6"/>
        <v>1</v>
      </c>
      <c r="Q92">
        <f t="shared" si="7"/>
        <v>0</v>
      </c>
      <c r="R92">
        <v>739852.58</v>
      </c>
      <c r="S92">
        <f t="shared" si="9"/>
        <v>712644.30409999995</v>
      </c>
      <c r="T92">
        <f t="shared" si="8"/>
        <v>-27208.275900000008</v>
      </c>
    </row>
    <row r="93" spans="1:20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  <c r="O93">
        <f t="shared" si="5"/>
        <v>0</v>
      </c>
      <c r="P93">
        <f t="shared" si="6"/>
        <v>1</v>
      </c>
      <c r="Q93">
        <f t="shared" si="7"/>
        <v>0</v>
      </c>
      <c r="R93">
        <v>586307.22</v>
      </c>
      <c r="S93">
        <f t="shared" si="9"/>
        <v>554592.9939</v>
      </c>
      <c r="T93">
        <f t="shared" si="8"/>
        <v>-31714.226099999971</v>
      </c>
    </row>
    <row r="94" spans="1:20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  <c r="O94">
        <f t="shared" si="5"/>
        <v>0</v>
      </c>
      <c r="P94">
        <f t="shared" si="6"/>
        <v>0</v>
      </c>
      <c r="Q94">
        <f t="shared" si="7"/>
        <v>1</v>
      </c>
      <c r="R94">
        <v>585937.48</v>
      </c>
      <c r="S94">
        <f t="shared" si="9"/>
        <v>604780.68309999991</v>
      </c>
      <c r="T94">
        <f t="shared" si="8"/>
        <v>18843.203099999926</v>
      </c>
    </row>
    <row r="95" spans="1:20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  <c r="O95">
        <f t="shared" si="5"/>
        <v>0</v>
      </c>
      <c r="P95">
        <f t="shared" si="6"/>
        <v>0</v>
      </c>
      <c r="Q95">
        <f t="shared" si="7"/>
        <v>1</v>
      </c>
      <c r="R95">
        <v>753473.55</v>
      </c>
      <c r="S95">
        <f t="shared" si="9"/>
        <v>704755.72600000002</v>
      </c>
      <c r="T95">
        <f t="shared" si="8"/>
        <v>-48717.824000000022</v>
      </c>
    </row>
    <row r="96" spans="1:20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  <c r="O96">
        <f t="shared" si="5"/>
        <v>0</v>
      </c>
      <c r="P96">
        <f t="shared" si="6"/>
        <v>0</v>
      </c>
      <c r="Q96">
        <f t="shared" si="7"/>
        <v>1</v>
      </c>
      <c r="R96">
        <v>838250.32</v>
      </c>
      <c r="S96">
        <f t="shared" si="9"/>
        <v>779040.19019999995</v>
      </c>
      <c r="T96">
        <f t="shared" si="8"/>
        <v>-59210.129799999995</v>
      </c>
    </row>
    <row r="97" spans="1:20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  <c r="O97">
        <f t="shared" si="5"/>
        <v>0</v>
      </c>
      <c r="P97">
        <f t="shared" si="6"/>
        <v>0</v>
      </c>
      <c r="Q97">
        <f t="shared" si="7"/>
        <v>1</v>
      </c>
      <c r="R97">
        <v>607898.12</v>
      </c>
      <c r="S97">
        <f t="shared" si="9"/>
        <v>630642.06449999998</v>
      </c>
      <c r="T97">
        <f t="shared" si="8"/>
        <v>22743.944499999983</v>
      </c>
    </row>
    <row r="98" spans="1:20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  <c r="O98">
        <f t="shared" si="5"/>
        <v>0</v>
      </c>
      <c r="P98">
        <f t="shared" si="6"/>
        <v>0</v>
      </c>
      <c r="Q98">
        <f t="shared" si="7"/>
        <v>1</v>
      </c>
      <c r="R98">
        <v>691113.62</v>
      </c>
      <c r="S98">
        <f t="shared" si="9"/>
        <v>694720.73329999996</v>
      </c>
      <c r="T98">
        <f t="shared" si="8"/>
        <v>3607.1132999999681</v>
      </c>
    </row>
    <row r="99" spans="1:20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  <c r="O99">
        <f t="shared" si="5"/>
        <v>0</v>
      </c>
      <c r="P99">
        <f t="shared" si="6"/>
        <v>0</v>
      </c>
      <c r="Q99">
        <f t="shared" si="7"/>
        <v>1</v>
      </c>
      <c r="R99">
        <v>735509.4</v>
      </c>
      <c r="S99">
        <f t="shared" si="9"/>
        <v>659003.47210000001</v>
      </c>
      <c r="T99">
        <f t="shared" si="8"/>
        <v>-76505.92790000001</v>
      </c>
    </row>
    <row r="100" spans="1:20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J100">
        <v>4.45</v>
      </c>
      <c r="K100">
        <v>0</v>
      </c>
      <c r="L100">
        <v>4.3</v>
      </c>
      <c r="M100">
        <v>605775.32999999996</v>
      </c>
      <c r="N100">
        <v>107194.6</v>
      </c>
      <c r="O100">
        <f t="shared" si="5"/>
        <v>0</v>
      </c>
      <c r="P100">
        <f t="shared" si="6"/>
        <v>0</v>
      </c>
      <c r="Q100">
        <f t="shared" si="7"/>
        <v>1</v>
      </c>
      <c r="R100">
        <v>605775.32999999996</v>
      </c>
      <c r="S100">
        <f t="shared" si="9"/>
        <v>607456.38899999997</v>
      </c>
      <c r="T100">
        <f t="shared" si="8"/>
        <v>1681.0590000000084</v>
      </c>
    </row>
    <row r="101" spans="1:20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  <c r="O101">
        <f t="shared" si="5"/>
        <v>0</v>
      </c>
      <c r="P101">
        <f t="shared" si="6"/>
        <v>0</v>
      </c>
      <c r="Q101">
        <f t="shared" si="7"/>
        <v>1</v>
      </c>
      <c r="R101">
        <v>675177.68</v>
      </c>
      <c r="S101">
        <f t="shared" si="9"/>
        <v>649846.56900000002</v>
      </c>
      <c r="T101">
        <f t="shared" si="8"/>
        <v>-25331.111000000034</v>
      </c>
    </row>
    <row r="102" spans="1:20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  <c r="O102">
        <f t="shared" si="5"/>
        <v>0</v>
      </c>
      <c r="P102">
        <f t="shared" si="6"/>
        <v>0</v>
      </c>
      <c r="Q102">
        <f t="shared" si="7"/>
        <v>0</v>
      </c>
      <c r="R102">
        <v>635181.35</v>
      </c>
      <c r="S102">
        <f t="shared" si="9"/>
        <v>575570.10840000003</v>
      </c>
      <c r="T102">
        <f t="shared" si="8"/>
        <v>-59611.24159999995</v>
      </c>
    </row>
    <row r="103" spans="1:20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  <c r="O103">
        <f t="shared" si="5"/>
        <v>0</v>
      </c>
      <c r="P103">
        <f t="shared" si="6"/>
        <v>0</v>
      </c>
      <c r="Q103">
        <f t="shared" si="7"/>
        <v>0</v>
      </c>
      <c r="R103">
        <v>586626.93999999994</v>
      </c>
      <c r="S103">
        <f t="shared" si="9"/>
        <v>609430.89610000001</v>
      </c>
      <c r="T103">
        <f t="shared" si="8"/>
        <v>22803.956100000069</v>
      </c>
    </row>
    <row r="104" spans="1:20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  <c r="O104">
        <f t="shared" si="5"/>
        <v>0</v>
      </c>
      <c r="P104">
        <f t="shared" si="6"/>
        <v>0</v>
      </c>
      <c r="Q104">
        <f t="shared" si="7"/>
        <v>0</v>
      </c>
      <c r="R104">
        <v>740102.64</v>
      </c>
      <c r="S104">
        <f t="shared" si="9"/>
        <v>696926.49100000004</v>
      </c>
      <c r="T104">
        <f t="shared" si="8"/>
        <v>-43176.148999999976</v>
      </c>
    </row>
    <row r="105" spans="1:20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  <c r="O105">
        <f t="shared" si="5"/>
        <v>0</v>
      </c>
      <c r="P105">
        <f t="shared" si="6"/>
        <v>0</v>
      </c>
      <c r="Q105">
        <f t="shared" si="7"/>
        <v>0</v>
      </c>
      <c r="R105">
        <v>625514.04</v>
      </c>
      <c r="S105">
        <f t="shared" si="9"/>
        <v>511176.93259999994</v>
      </c>
      <c r="T105">
        <f t="shared" si="8"/>
        <v>-114337.1074000001</v>
      </c>
    </row>
    <row r="106" spans="1:20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  <c r="O106">
        <f t="shared" si="5"/>
        <v>0</v>
      </c>
      <c r="P106">
        <f t="shared" si="6"/>
        <v>0</v>
      </c>
      <c r="Q106">
        <f t="shared" si="7"/>
        <v>1</v>
      </c>
      <c r="R106">
        <v>727227.2</v>
      </c>
      <c r="S106">
        <f t="shared" si="9"/>
        <v>699571.43629999994</v>
      </c>
      <c r="T106">
        <f t="shared" si="8"/>
        <v>-27655.76370000001</v>
      </c>
    </row>
    <row r="107" spans="1:20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  <c r="O107">
        <f t="shared" si="5"/>
        <v>0</v>
      </c>
      <c r="P107">
        <f t="shared" si="6"/>
        <v>0</v>
      </c>
      <c r="Q107">
        <f t="shared" si="7"/>
        <v>1</v>
      </c>
      <c r="R107">
        <v>783797.89</v>
      </c>
      <c r="S107">
        <f t="shared" si="9"/>
        <v>792521.7145</v>
      </c>
      <c r="T107">
        <f t="shared" si="8"/>
        <v>8723.8244999999879</v>
      </c>
    </row>
    <row r="108" spans="1:20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  <c r="O108">
        <f t="shared" si="5"/>
        <v>0</v>
      </c>
      <c r="P108">
        <f t="shared" si="6"/>
        <v>0</v>
      </c>
      <c r="Q108">
        <f t="shared" si="7"/>
        <v>1</v>
      </c>
      <c r="R108">
        <v>795153.84</v>
      </c>
      <c r="S108">
        <f t="shared" si="9"/>
        <v>727474.41469999996</v>
      </c>
      <c r="T108">
        <f t="shared" si="8"/>
        <v>-67679.425300000003</v>
      </c>
    </row>
    <row r="109" spans="1:20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  <c r="O109">
        <f t="shared" si="5"/>
        <v>0</v>
      </c>
      <c r="P109">
        <f t="shared" si="6"/>
        <v>0</v>
      </c>
      <c r="Q109">
        <f t="shared" si="7"/>
        <v>1</v>
      </c>
      <c r="R109">
        <v>665594.93999999994</v>
      </c>
      <c r="S109">
        <f t="shared" si="9"/>
        <v>671790.05569999991</v>
      </c>
      <c r="T109">
        <f t="shared" si="8"/>
        <v>6195.1156999999657</v>
      </c>
    </row>
    <row r="110" spans="1:20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  <c r="O110">
        <f t="shared" si="5"/>
        <v>0</v>
      </c>
      <c r="P110">
        <f t="shared" si="6"/>
        <v>0</v>
      </c>
      <c r="Q110">
        <f t="shared" si="7"/>
        <v>0</v>
      </c>
      <c r="R110">
        <v>709478.39</v>
      </c>
      <c r="S110">
        <f t="shared" si="9"/>
        <v>665252.83180000004</v>
      </c>
      <c r="T110">
        <f t="shared" si="8"/>
        <v>-44225.55819999997</v>
      </c>
    </row>
    <row r="111" spans="1:20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  <c r="O111">
        <f t="shared" si="5"/>
        <v>0</v>
      </c>
      <c r="P111">
        <f t="shared" si="6"/>
        <v>0</v>
      </c>
      <c r="Q111">
        <f t="shared" si="7"/>
        <v>0</v>
      </c>
      <c r="R111">
        <v>664162.49</v>
      </c>
      <c r="S111">
        <f t="shared" si="9"/>
        <v>643883.30799999996</v>
      </c>
      <c r="T111">
        <f t="shared" si="8"/>
        <v>-20279.18200000003</v>
      </c>
    </row>
    <row r="112" spans="1:20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  <c r="O112">
        <f t="shared" si="5"/>
        <v>0</v>
      </c>
      <c r="P112">
        <f t="shared" si="6"/>
        <v>0</v>
      </c>
      <c r="Q112">
        <f t="shared" si="7"/>
        <v>0</v>
      </c>
      <c r="R112">
        <v>633494.21</v>
      </c>
      <c r="S112">
        <f t="shared" si="9"/>
        <v>638159.02749999997</v>
      </c>
      <c r="T112">
        <f t="shared" si="8"/>
        <v>4664.8175000000047</v>
      </c>
    </row>
    <row r="113" spans="1:20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  <c r="O113">
        <f t="shared" si="5"/>
        <v>0</v>
      </c>
      <c r="P113">
        <f t="shared" si="6"/>
        <v>0</v>
      </c>
      <c r="Q113">
        <f t="shared" si="7"/>
        <v>0</v>
      </c>
      <c r="R113">
        <v>713611.16</v>
      </c>
      <c r="S113">
        <f t="shared" si="9"/>
        <v>590286.00890000002</v>
      </c>
      <c r="T113">
        <f t="shared" si="8"/>
        <v>-123325.15110000002</v>
      </c>
    </row>
    <row r="114" spans="1:20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  <c r="O114">
        <f t="shared" si="5"/>
        <v>0</v>
      </c>
      <c r="P114">
        <f t="shared" si="6"/>
        <v>0</v>
      </c>
      <c r="Q114">
        <f t="shared" si="7"/>
        <v>1</v>
      </c>
      <c r="R114">
        <v>778397.97</v>
      </c>
      <c r="S114">
        <f t="shared" si="9"/>
        <v>741038.33160000003</v>
      </c>
      <c r="T114">
        <f t="shared" si="8"/>
        <v>-37359.638399999938</v>
      </c>
    </row>
    <row r="115" spans="1:20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  <c r="O115">
        <f t="shared" si="5"/>
        <v>0</v>
      </c>
      <c r="P115">
        <f t="shared" si="6"/>
        <v>0</v>
      </c>
      <c r="Q115">
        <f t="shared" si="7"/>
        <v>1</v>
      </c>
      <c r="R115">
        <v>873380.02</v>
      </c>
      <c r="S115">
        <f t="shared" si="9"/>
        <v>831511.15759999992</v>
      </c>
      <c r="T115">
        <f t="shared" si="8"/>
        <v>-41868.8624000001</v>
      </c>
    </row>
    <row r="116" spans="1:20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  <c r="O116">
        <f t="shared" si="5"/>
        <v>0</v>
      </c>
      <c r="P116">
        <f t="shared" si="6"/>
        <v>0</v>
      </c>
      <c r="Q116">
        <f t="shared" si="7"/>
        <v>1</v>
      </c>
      <c r="R116">
        <v>697287.9</v>
      </c>
      <c r="S116">
        <f t="shared" si="9"/>
        <v>750522.35820000002</v>
      </c>
      <c r="T116">
        <f t="shared" si="8"/>
        <v>53234.458199999994</v>
      </c>
    </row>
    <row r="117" spans="1:20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  <c r="O117">
        <f t="shared" si="5"/>
        <v>0</v>
      </c>
      <c r="P117">
        <f t="shared" si="6"/>
        <v>0</v>
      </c>
      <c r="Q117">
        <f t="shared" si="7"/>
        <v>1</v>
      </c>
      <c r="R117">
        <v>718074.79</v>
      </c>
      <c r="S117">
        <f t="shared" si="9"/>
        <v>753828.47759999998</v>
      </c>
      <c r="T117">
        <f t="shared" si="8"/>
        <v>35753.687599999947</v>
      </c>
    </row>
    <row r="118" spans="1:20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  <c r="O118">
        <f t="shared" si="5"/>
        <v>0</v>
      </c>
      <c r="P118">
        <f t="shared" si="6"/>
        <v>0</v>
      </c>
      <c r="Q118">
        <f t="shared" si="7"/>
        <v>1</v>
      </c>
      <c r="R118">
        <v>714942.43</v>
      </c>
      <c r="S118">
        <f t="shared" si="9"/>
        <v>722291.37659999996</v>
      </c>
      <c r="T118">
        <f t="shared" si="8"/>
        <v>7348.9465999999084</v>
      </c>
    </row>
    <row r="119" spans="1:20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  <c r="O119">
        <f t="shared" si="5"/>
        <v>0</v>
      </c>
      <c r="P119">
        <f t="shared" si="6"/>
        <v>0</v>
      </c>
      <c r="Q119">
        <f t="shared" si="7"/>
        <v>1</v>
      </c>
      <c r="R119">
        <v>820519.04</v>
      </c>
      <c r="S119">
        <f t="shared" si="9"/>
        <v>739881.13289999997</v>
      </c>
      <c r="T119">
        <f t="shared" si="8"/>
        <v>-80637.907100000069</v>
      </c>
    </row>
    <row r="120" spans="1:20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  <c r="O120">
        <f t="shared" si="5"/>
        <v>0</v>
      </c>
      <c r="P120">
        <f t="shared" si="6"/>
        <v>0</v>
      </c>
      <c r="Q120">
        <f t="shared" si="7"/>
        <v>1</v>
      </c>
      <c r="R120">
        <v>684217.32</v>
      </c>
      <c r="S120">
        <f t="shared" si="9"/>
        <v>760530.25730000006</v>
      </c>
      <c r="T120">
        <f t="shared" si="8"/>
        <v>76312.937300000107</v>
      </c>
    </row>
    <row r="121" spans="1:20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  <c r="O121">
        <f t="shared" si="5"/>
        <v>0</v>
      </c>
      <c r="P121">
        <f t="shared" si="6"/>
        <v>0</v>
      </c>
      <c r="Q121">
        <f t="shared" si="7"/>
        <v>1</v>
      </c>
      <c r="R121">
        <v>735480.19</v>
      </c>
      <c r="S121">
        <f t="shared" si="9"/>
        <v>748795.38319999992</v>
      </c>
      <c r="T121">
        <f t="shared" si="8"/>
        <v>13315.19319999998</v>
      </c>
    </row>
    <row r="122" spans="1:20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  <c r="O122">
        <f t="shared" si="5"/>
        <v>1</v>
      </c>
      <c r="P122">
        <f t="shared" si="6"/>
        <v>0</v>
      </c>
      <c r="Q122">
        <f t="shared" si="7"/>
        <v>0</v>
      </c>
      <c r="R122">
        <v>509484.81</v>
      </c>
      <c r="S122">
        <f t="shared" si="9"/>
        <v>558656.62469999993</v>
      </c>
      <c r="T122">
        <f t="shared" si="8"/>
        <v>49171.81469999993</v>
      </c>
    </row>
    <row r="123" spans="1:20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  <c r="O123">
        <f t="shared" si="5"/>
        <v>1</v>
      </c>
      <c r="P123">
        <f t="shared" si="6"/>
        <v>0</v>
      </c>
      <c r="Q123">
        <f t="shared" si="7"/>
        <v>0</v>
      </c>
      <c r="R123">
        <v>654317.09</v>
      </c>
      <c r="S123">
        <f t="shared" si="9"/>
        <v>617894.00630000001</v>
      </c>
      <c r="T123">
        <f t="shared" si="8"/>
        <v>-36423.083699999959</v>
      </c>
    </row>
    <row r="124" spans="1:20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  <c r="O124">
        <f t="shared" si="5"/>
        <v>1</v>
      </c>
      <c r="P124">
        <f t="shared" si="6"/>
        <v>0</v>
      </c>
      <c r="Q124">
        <f t="shared" si="7"/>
        <v>0</v>
      </c>
      <c r="R124">
        <v>557487.26</v>
      </c>
      <c r="S124">
        <f t="shared" si="9"/>
        <v>590926.69169999997</v>
      </c>
      <c r="T124">
        <f t="shared" si="8"/>
        <v>33439.431699999957</v>
      </c>
    </row>
    <row r="125" spans="1:20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  <c r="O125">
        <f t="shared" si="5"/>
        <v>1</v>
      </c>
      <c r="P125">
        <f t="shared" si="6"/>
        <v>0</v>
      </c>
      <c r="Q125">
        <f t="shared" si="7"/>
        <v>0</v>
      </c>
      <c r="R125">
        <v>441275.42</v>
      </c>
      <c r="S125">
        <f t="shared" si="9"/>
        <v>504870.38920000003</v>
      </c>
      <c r="T125">
        <f t="shared" si="8"/>
        <v>63594.96920000005</v>
      </c>
    </row>
    <row r="126" spans="1:20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  <c r="O126">
        <f t="shared" si="5"/>
        <v>0</v>
      </c>
      <c r="P126">
        <f t="shared" si="6"/>
        <v>1</v>
      </c>
      <c r="Q126">
        <f t="shared" si="7"/>
        <v>0</v>
      </c>
      <c r="R126">
        <v>914544.17</v>
      </c>
      <c r="S126">
        <f t="shared" si="9"/>
        <v>827031.6608999999</v>
      </c>
      <c r="T126">
        <f t="shared" si="8"/>
        <v>-87512.509100000141</v>
      </c>
    </row>
    <row r="127" spans="1:20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  <c r="O127">
        <f t="shared" si="5"/>
        <v>0</v>
      </c>
      <c r="P127">
        <f t="shared" si="6"/>
        <v>1</v>
      </c>
      <c r="Q127">
        <f t="shared" si="7"/>
        <v>0</v>
      </c>
      <c r="R127">
        <v>842439.67</v>
      </c>
      <c r="S127">
        <f t="shared" si="9"/>
        <v>858823.89299999992</v>
      </c>
      <c r="T127">
        <f t="shared" si="8"/>
        <v>16384.222999999882</v>
      </c>
    </row>
    <row r="128" spans="1:20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  <c r="O128">
        <f t="shared" si="5"/>
        <v>0</v>
      </c>
      <c r="P128">
        <f t="shared" si="6"/>
        <v>1</v>
      </c>
      <c r="Q128">
        <f t="shared" si="7"/>
        <v>0</v>
      </c>
      <c r="R128">
        <v>842157.92</v>
      </c>
      <c r="S128">
        <f t="shared" si="9"/>
        <v>793494.60299999989</v>
      </c>
      <c r="T128">
        <f t="shared" si="8"/>
        <v>-48663.317000000156</v>
      </c>
    </row>
    <row r="129" spans="1:20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  <c r="O129">
        <f t="shared" si="5"/>
        <v>0</v>
      </c>
      <c r="P129">
        <f t="shared" si="6"/>
        <v>1</v>
      </c>
      <c r="Q129">
        <f t="shared" si="7"/>
        <v>0</v>
      </c>
      <c r="R129">
        <v>697155.3</v>
      </c>
      <c r="S129">
        <f t="shared" si="9"/>
        <v>706546.1</v>
      </c>
      <c r="T129">
        <f t="shared" si="8"/>
        <v>9390.7999999999302</v>
      </c>
    </row>
    <row r="130" spans="1:20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  <c r="O130">
        <f t="shared" si="5"/>
        <v>0</v>
      </c>
      <c r="P130">
        <f t="shared" si="6"/>
        <v>0</v>
      </c>
      <c r="Q130">
        <f t="shared" si="7"/>
        <v>0</v>
      </c>
      <c r="R130">
        <v>849018.3</v>
      </c>
      <c r="S130">
        <f t="shared" si="9"/>
        <v>818778.04369999992</v>
      </c>
      <c r="T130">
        <f t="shared" si="8"/>
        <v>-30240.256300000125</v>
      </c>
    </row>
    <row r="131" spans="1:20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  <c r="O131">
        <f t="shared" ref="O131:O194" si="10">IF(C131="North",1,0)</f>
        <v>0</v>
      </c>
      <c r="P131">
        <f t="shared" ref="P131:P194" si="11">IF(C131="South",1,0)</f>
        <v>0</v>
      </c>
      <c r="Q131">
        <f t="shared" ref="Q131:Q194" si="12">IF(C131="West",1,0)</f>
        <v>0</v>
      </c>
      <c r="R131">
        <v>801830.35</v>
      </c>
      <c r="S131">
        <f t="shared" si="9"/>
        <v>800594.48869999987</v>
      </c>
      <c r="T131">
        <f t="shared" ref="T131:T194" si="13">S131-R131</f>
        <v>-1235.861300000106</v>
      </c>
    </row>
    <row r="132" spans="1:20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  <c r="O132">
        <f t="shared" si="10"/>
        <v>0</v>
      </c>
      <c r="P132">
        <f t="shared" si="11"/>
        <v>0</v>
      </c>
      <c r="Q132">
        <f t="shared" si="12"/>
        <v>0</v>
      </c>
      <c r="R132">
        <v>725235.28</v>
      </c>
      <c r="S132">
        <f t="shared" ref="S132:S195" si="14">131460.31+(1.19*E132)+(33.87*F132)+(2818.21*I132)+(10547.38*O132)+(21940.49*P132)+(17491.37*Q132)</f>
        <v>781979.33770000003</v>
      </c>
      <c r="T132">
        <f t="shared" si="13"/>
        <v>56744.057700000005</v>
      </c>
    </row>
    <row r="133" spans="1:20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  <c r="O133">
        <f t="shared" si="10"/>
        <v>0</v>
      </c>
      <c r="P133">
        <f t="shared" si="11"/>
        <v>0</v>
      </c>
      <c r="Q133">
        <f t="shared" si="12"/>
        <v>0</v>
      </c>
      <c r="R133">
        <v>811452.72</v>
      </c>
      <c r="S133">
        <f t="shared" si="14"/>
        <v>817105.88199999987</v>
      </c>
      <c r="T133">
        <f t="shared" si="13"/>
        <v>5653.1619999998948</v>
      </c>
    </row>
    <row r="134" spans="1:20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  <c r="O134">
        <f t="shared" si="10"/>
        <v>1</v>
      </c>
      <c r="P134">
        <f t="shared" si="11"/>
        <v>0</v>
      </c>
      <c r="Q134">
        <f t="shared" si="12"/>
        <v>0</v>
      </c>
      <c r="R134">
        <v>527300.13</v>
      </c>
      <c r="S134">
        <f t="shared" si="14"/>
        <v>576423.53220000002</v>
      </c>
      <c r="T134">
        <f t="shared" si="13"/>
        <v>49123.402200000011</v>
      </c>
    </row>
    <row r="135" spans="1:20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L135">
        <v>3.92</v>
      </c>
      <c r="M135">
        <v>400831.65</v>
      </c>
      <c r="N135">
        <v>70979.31</v>
      </c>
      <c r="O135">
        <f t="shared" si="10"/>
        <v>1</v>
      </c>
      <c r="P135">
        <f t="shared" si="11"/>
        <v>0</v>
      </c>
      <c r="Q135">
        <f t="shared" si="12"/>
        <v>0</v>
      </c>
      <c r="R135">
        <v>400831.65</v>
      </c>
      <c r="S135">
        <f t="shared" si="14"/>
        <v>458269.95259999996</v>
      </c>
      <c r="T135">
        <f t="shared" si="13"/>
        <v>57438.302599999937</v>
      </c>
    </row>
    <row r="136" spans="1:20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  <c r="O136">
        <f t="shared" si="10"/>
        <v>1</v>
      </c>
      <c r="P136">
        <f t="shared" si="11"/>
        <v>0</v>
      </c>
      <c r="Q136">
        <f t="shared" si="12"/>
        <v>0</v>
      </c>
      <c r="R136">
        <v>593247.25</v>
      </c>
      <c r="S136">
        <f t="shared" si="14"/>
        <v>596189.91150000005</v>
      </c>
      <c r="T136">
        <f t="shared" si="13"/>
        <v>2942.6615000000456</v>
      </c>
    </row>
    <row r="137" spans="1:20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  <c r="O137">
        <f t="shared" si="10"/>
        <v>1</v>
      </c>
      <c r="P137">
        <f t="shared" si="11"/>
        <v>0</v>
      </c>
      <c r="Q137">
        <f t="shared" si="12"/>
        <v>0</v>
      </c>
      <c r="R137">
        <v>529075.94999999995</v>
      </c>
      <c r="S137">
        <f t="shared" si="14"/>
        <v>545306.20239999995</v>
      </c>
      <c r="T137">
        <f t="shared" si="13"/>
        <v>16230.252399999998</v>
      </c>
    </row>
    <row r="138" spans="1:20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L138">
        <v>3.92</v>
      </c>
      <c r="M138">
        <v>633638.03</v>
      </c>
      <c r="N138">
        <v>99402.01</v>
      </c>
      <c r="O138">
        <f t="shared" si="10"/>
        <v>0</v>
      </c>
      <c r="P138">
        <f t="shared" si="11"/>
        <v>1</v>
      </c>
      <c r="Q138">
        <f t="shared" si="12"/>
        <v>0</v>
      </c>
      <c r="R138">
        <v>633638.03</v>
      </c>
      <c r="S138">
        <f t="shared" si="14"/>
        <v>725541.14639999997</v>
      </c>
      <c r="T138">
        <f t="shared" si="13"/>
        <v>91903.116399999941</v>
      </c>
    </row>
    <row r="139" spans="1:20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  <c r="O139">
        <f t="shared" si="10"/>
        <v>0</v>
      </c>
      <c r="P139">
        <f t="shared" si="11"/>
        <v>1</v>
      </c>
      <c r="Q139">
        <f t="shared" si="12"/>
        <v>0</v>
      </c>
      <c r="R139">
        <v>743348.84</v>
      </c>
      <c r="S139">
        <f t="shared" si="14"/>
        <v>725659.21029999992</v>
      </c>
      <c r="T139">
        <f t="shared" si="13"/>
        <v>-17689.629700000049</v>
      </c>
    </row>
    <row r="140" spans="1:20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  <c r="O140">
        <f t="shared" si="10"/>
        <v>0</v>
      </c>
      <c r="P140">
        <f t="shared" si="11"/>
        <v>1</v>
      </c>
      <c r="Q140">
        <f t="shared" si="12"/>
        <v>0</v>
      </c>
      <c r="R140">
        <v>758827.64</v>
      </c>
      <c r="S140">
        <f t="shared" si="14"/>
        <v>712285.63199999998</v>
      </c>
      <c r="T140">
        <f t="shared" si="13"/>
        <v>-46542.008000000031</v>
      </c>
    </row>
    <row r="141" spans="1:20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  <c r="O141">
        <f t="shared" si="10"/>
        <v>0</v>
      </c>
      <c r="P141">
        <f t="shared" si="11"/>
        <v>1</v>
      </c>
      <c r="Q141">
        <f t="shared" si="12"/>
        <v>0</v>
      </c>
      <c r="R141">
        <v>646559.71</v>
      </c>
      <c r="S141">
        <f t="shared" si="14"/>
        <v>644751.47049999994</v>
      </c>
      <c r="T141">
        <f t="shared" si="13"/>
        <v>-1808.2395000000251</v>
      </c>
    </row>
    <row r="142" spans="1:20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  <c r="O142">
        <f t="shared" si="10"/>
        <v>0</v>
      </c>
      <c r="P142">
        <f t="shared" si="11"/>
        <v>0</v>
      </c>
      <c r="Q142">
        <f t="shared" si="12"/>
        <v>1</v>
      </c>
      <c r="R142">
        <v>715890.53</v>
      </c>
      <c r="S142">
        <f t="shared" si="14"/>
        <v>678093.28690000006</v>
      </c>
      <c r="T142">
        <f t="shared" si="13"/>
        <v>-37797.243099999963</v>
      </c>
    </row>
    <row r="143" spans="1:20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  <c r="O143">
        <f t="shared" si="10"/>
        <v>0</v>
      </c>
      <c r="P143">
        <f t="shared" si="11"/>
        <v>0</v>
      </c>
      <c r="Q143">
        <f t="shared" si="12"/>
        <v>1</v>
      </c>
      <c r="R143">
        <v>715097.57</v>
      </c>
      <c r="S143">
        <f t="shared" si="14"/>
        <v>695882.26509999996</v>
      </c>
      <c r="T143">
        <f t="shared" si="13"/>
        <v>-19215.304899999988</v>
      </c>
    </row>
    <row r="144" spans="1:20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  <c r="O144">
        <f t="shared" si="10"/>
        <v>0</v>
      </c>
      <c r="P144">
        <f t="shared" si="11"/>
        <v>0</v>
      </c>
      <c r="Q144">
        <f t="shared" si="12"/>
        <v>1</v>
      </c>
      <c r="R144">
        <v>682639.28</v>
      </c>
      <c r="S144">
        <f t="shared" si="14"/>
        <v>641960.58899999992</v>
      </c>
      <c r="T144">
        <f t="shared" si="13"/>
        <v>-40678.691000000108</v>
      </c>
    </row>
    <row r="145" spans="1:20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  <c r="O145">
        <f t="shared" si="10"/>
        <v>0</v>
      </c>
      <c r="P145">
        <f t="shared" si="11"/>
        <v>0</v>
      </c>
      <c r="Q145">
        <f t="shared" si="12"/>
        <v>1</v>
      </c>
      <c r="R145">
        <v>695098.51</v>
      </c>
      <c r="S145">
        <f t="shared" si="14"/>
        <v>679833.6128</v>
      </c>
      <c r="T145">
        <f t="shared" si="13"/>
        <v>-15264.897200000007</v>
      </c>
    </row>
    <row r="146" spans="1:20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  <c r="O146">
        <f t="shared" si="10"/>
        <v>1</v>
      </c>
      <c r="P146">
        <f t="shared" si="11"/>
        <v>0</v>
      </c>
      <c r="Q146">
        <f t="shared" si="12"/>
        <v>0</v>
      </c>
      <c r="R146">
        <v>577732.56999999995</v>
      </c>
      <c r="S146">
        <f t="shared" si="14"/>
        <v>626138.63</v>
      </c>
      <c r="T146">
        <f t="shared" si="13"/>
        <v>48406.060000000056</v>
      </c>
    </row>
    <row r="147" spans="1:20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  <c r="O147">
        <f t="shared" si="10"/>
        <v>1</v>
      </c>
      <c r="P147">
        <f t="shared" si="11"/>
        <v>0</v>
      </c>
      <c r="Q147">
        <f t="shared" si="12"/>
        <v>0</v>
      </c>
      <c r="R147">
        <v>537058.32999999996</v>
      </c>
      <c r="S147">
        <f t="shared" si="14"/>
        <v>573414.23829999997</v>
      </c>
      <c r="T147">
        <f t="shared" si="13"/>
        <v>36355.90830000001</v>
      </c>
    </row>
    <row r="148" spans="1:20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  <c r="O148">
        <f t="shared" si="10"/>
        <v>1</v>
      </c>
      <c r="P148">
        <f t="shared" si="11"/>
        <v>0</v>
      </c>
      <c r="Q148">
        <f t="shared" si="12"/>
        <v>0</v>
      </c>
      <c r="R148">
        <v>601568.87</v>
      </c>
      <c r="S148">
        <f t="shared" si="14"/>
        <v>613814.81999999995</v>
      </c>
      <c r="T148">
        <f t="shared" si="13"/>
        <v>12245.949999999953</v>
      </c>
    </row>
    <row r="149" spans="1:20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  <c r="O149">
        <f t="shared" si="10"/>
        <v>1</v>
      </c>
      <c r="P149">
        <f t="shared" si="11"/>
        <v>0</v>
      </c>
      <c r="Q149">
        <f t="shared" si="12"/>
        <v>0</v>
      </c>
      <c r="R149">
        <v>570964.84</v>
      </c>
      <c r="S149">
        <f t="shared" si="14"/>
        <v>579203.82000000007</v>
      </c>
      <c r="T149">
        <f t="shared" si="13"/>
        <v>8238.9800000000978</v>
      </c>
    </row>
    <row r="150" spans="1:20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  <c r="O150">
        <f t="shared" si="10"/>
        <v>0</v>
      </c>
      <c r="P150">
        <f t="shared" si="11"/>
        <v>1</v>
      </c>
      <c r="Q150">
        <f t="shared" si="12"/>
        <v>0</v>
      </c>
      <c r="R150">
        <v>614024.91</v>
      </c>
      <c r="S150">
        <f t="shared" si="14"/>
        <v>643553.39019999991</v>
      </c>
      <c r="T150">
        <f t="shared" si="13"/>
        <v>29528.480199999874</v>
      </c>
    </row>
    <row r="151" spans="1:20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  <c r="O151">
        <f t="shared" si="10"/>
        <v>0</v>
      </c>
      <c r="P151">
        <f t="shared" si="11"/>
        <v>1</v>
      </c>
      <c r="Q151">
        <f t="shared" si="12"/>
        <v>0</v>
      </c>
      <c r="R151">
        <v>712868.35</v>
      </c>
      <c r="S151">
        <f t="shared" si="14"/>
        <v>705836.68859999999</v>
      </c>
      <c r="T151">
        <f t="shared" si="13"/>
        <v>-7031.6613999999827</v>
      </c>
    </row>
    <row r="152" spans="1:20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  <c r="O152">
        <f t="shared" si="10"/>
        <v>0</v>
      </c>
      <c r="P152">
        <f t="shared" si="11"/>
        <v>1</v>
      </c>
      <c r="Q152">
        <f t="shared" si="12"/>
        <v>0</v>
      </c>
      <c r="R152">
        <v>696744.15</v>
      </c>
      <c r="S152">
        <f t="shared" si="14"/>
        <v>665150.57449999999</v>
      </c>
      <c r="T152">
        <f t="shared" si="13"/>
        <v>-31593.575500000035</v>
      </c>
    </row>
    <row r="153" spans="1:20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  <c r="O153">
        <f t="shared" si="10"/>
        <v>0</v>
      </c>
      <c r="P153">
        <f t="shared" si="11"/>
        <v>1</v>
      </c>
      <c r="Q153">
        <f t="shared" si="12"/>
        <v>0</v>
      </c>
      <c r="R153">
        <v>725847.99</v>
      </c>
      <c r="S153">
        <f t="shared" si="14"/>
        <v>704871.13009999995</v>
      </c>
      <c r="T153">
        <f t="shared" si="13"/>
        <v>-20976.859900000039</v>
      </c>
    </row>
    <row r="154" spans="1:20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  <c r="O154">
        <f t="shared" si="10"/>
        <v>0</v>
      </c>
      <c r="P154">
        <f t="shared" si="11"/>
        <v>0</v>
      </c>
      <c r="Q154">
        <f t="shared" si="12"/>
        <v>0</v>
      </c>
      <c r="R154">
        <v>785028.25</v>
      </c>
      <c r="S154">
        <f t="shared" si="14"/>
        <v>795448.06770000001</v>
      </c>
      <c r="T154">
        <f t="shared" si="13"/>
        <v>10419.817700000014</v>
      </c>
    </row>
    <row r="155" spans="1:20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  <c r="O155">
        <f t="shared" si="10"/>
        <v>0</v>
      </c>
      <c r="P155">
        <f t="shared" si="11"/>
        <v>0</v>
      </c>
      <c r="Q155">
        <f t="shared" si="12"/>
        <v>0</v>
      </c>
      <c r="R155">
        <v>698492.67</v>
      </c>
      <c r="S155">
        <f t="shared" si="14"/>
        <v>681534.33250000002</v>
      </c>
      <c r="T155">
        <f t="shared" si="13"/>
        <v>-16958.337500000023</v>
      </c>
    </row>
    <row r="156" spans="1:20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  <c r="O156">
        <f t="shared" si="10"/>
        <v>0</v>
      </c>
      <c r="P156">
        <f t="shared" si="11"/>
        <v>0</v>
      </c>
      <c r="Q156">
        <f t="shared" si="12"/>
        <v>0</v>
      </c>
      <c r="R156">
        <v>685830.24</v>
      </c>
      <c r="S156">
        <f t="shared" si="14"/>
        <v>721937.73459999997</v>
      </c>
      <c r="T156">
        <f t="shared" si="13"/>
        <v>36107.494599999976</v>
      </c>
    </row>
    <row r="157" spans="1:20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  <c r="O157">
        <f t="shared" si="10"/>
        <v>0</v>
      </c>
      <c r="P157">
        <f t="shared" si="11"/>
        <v>0</v>
      </c>
      <c r="Q157">
        <f t="shared" si="12"/>
        <v>0</v>
      </c>
      <c r="R157">
        <v>702318.94</v>
      </c>
      <c r="S157">
        <f t="shared" si="14"/>
        <v>696753.72759999998</v>
      </c>
      <c r="T157">
        <f t="shared" si="13"/>
        <v>-5565.2123999999603</v>
      </c>
    </row>
    <row r="158" spans="1:20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  <c r="O158">
        <f t="shared" si="10"/>
        <v>1</v>
      </c>
      <c r="P158">
        <f t="shared" si="11"/>
        <v>0</v>
      </c>
      <c r="Q158">
        <f t="shared" si="12"/>
        <v>0</v>
      </c>
      <c r="R158">
        <v>700078.32</v>
      </c>
      <c r="S158">
        <f t="shared" si="14"/>
        <v>703091.20089999994</v>
      </c>
      <c r="T158">
        <f t="shared" si="13"/>
        <v>3012.8808999999892</v>
      </c>
    </row>
    <row r="159" spans="1:20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  <c r="O159">
        <f t="shared" si="10"/>
        <v>1</v>
      </c>
      <c r="P159">
        <f t="shared" si="11"/>
        <v>0</v>
      </c>
      <c r="Q159">
        <f t="shared" si="12"/>
        <v>0</v>
      </c>
      <c r="R159">
        <v>602002.31999999995</v>
      </c>
      <c r="S159">
        <f t="shared" si="14"/>
        <v>632870.79119999998</v>
      </c>
      <c r="T159">
        <f t="shared" si="13"/>
        <v>30868.471200000029</v>
      </c>
    </row>
    <row r="160" spans="1:20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  <c r="O160">
        <f t="shared" si="10"/>
        <v>1</v>
      </c>
      <c r="P160">
        <f t="shared" si="11"/>
        <v>0</v>
      </c>
      <c r="Q160">
        <f t="shared" si="12"/>
        <v>0</v>
      </c>
      <c r="R160">
        <v>724216.07</v>
      </c>
      <c r="S160">
        <f t="shared" si="14"/>
        <v>656449.53240000003</v>
      </c>
      <c r="T160">
        <f t="shared" si="13"/>
        <v>-67766.537599999923</v>
      </c>
    </row>
    <row r="161" spans="1:20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  <c r="O161">
        <f t="shared" si="10"/>
        <v>1</v>
      </c>
      <c r="P161">
        <f t="shared" si="11"/>
        <v>0</v>
      </c>
      <c r="Q161">
        <f t="shared" si="12"/>
        <v>0</v>
      </c>
      <c r="R161">
        <v>620973.03</v>
      </c>
      <c r="S161">
        <f t="shared" si="14"/>
        <v>562072.04830000002</v>
      </c>
      <c r="T161">
        <f t="shared" si="13"/>
        <v>-58900.981700000004</v>
      </c>
    </row>
    <row r="162" spans="1:20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  <c r="O162">
        <f t="shared" si="10"/>
        <v>0</v>
      </c>
      <c r="P162">
        <f t="shared" si="11"/>
        <v>1</v>
      </c>
      <c r="Q162">
        <f t="shared" si="12"/>
        <v>0</v>
      </c>
      <c r="R162">
        <v>650480.06000000006</v>
      </c>
      <c r="S162">
        <f t="shared" si="14"/>
        <v>709140.02889999992</v>
      </c>
      <c r="T162">
        <f t="shared" si="13"/>
        <v>58659.968899999862</v>
      </c>
    </row>
    <row r="163" spans="1:20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  <c r="O163">
        <f t="shared" si="10"/>
        <v>0</v>
      </c>
      <c r="P163">
        <f t="shared" si="11"/>
        <v>1</v>
      </c>
      <c r="Q163">
        <f t="shared" si="12"/>
        <v>0</v>
      </c>
      <c r="R163">
        <v>778298.88</v>
      </c>
      <c r="S163">
        <f t="shared" si="14"/>
        <v>704319.18149999995</v>
      </c>
      <c r="T163">
        <f t="shared" si="13"/>
        <v>-73979.698500000057</v>
      </c>
    </row>
    <row r="164" spans="1:20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J164">
        <v>4.45</v>
      </c>
      <c r="K164">
        <v>0</v>
      </c>
      <c r="L164">
        <v>4.2</v>
      </c>
      <c r="M164">
        <v>677096.71</v>
      </c>
      <c r="N164">
        <v>97174.11</v>
      </c>
      <c r="O164">
        <f t="shared" si="10"/>
        <v>0</v>
      </c>
      <c r="P164">
        <f t="shared" si="11"/>
        <v>1</v>
      </c>
      <c r="Q164">
        <f t="shared" si="12"/>
        <v>0</v>
      </c>
      <c r="R164">
        <v>677096.71</v>
      </c>
      <c r="S164">
        <f t="shared" si="14"/>
        <v>698250.43299999996</v>
      </c>
      <c r="T164">
        <f t="shared" si="13"/>
        <v>21153.722999999998</v>
      </c>
    </row>
    <row r="165" spans="1:20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  <c r="O165">
        <f t="shared" si="10"/>
        <v>0</v>
      </c>
      <c r="P165">
        <f t="shared" si="11"/>
        <v>1</v>
      </c>
      <c r="Q165">
        <f t="shared" si="12"/>
        <v>0</v>
      </c>
      <c r="R165">
        <v>692008.64</v>
      </c>
      <c r="S165">
        <f t="shared" si="14"/>
        <v>702407.78579999995</v>
      </c>
      <c r="T165">
        <f t="shared" si="13"/>
        <v>10399.14579999994</v>
      </c>
    </row>
    <row r="166" spans="1:20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  <c r="O166">
        <f t="shared" si="10"/>
        <v>1</v>
      </c>
      <c r="P166">
        <f t="shared" si="11"/>
        <v>0</v>
      </c>
      <c r="Q166">
        <f t="shared" si="12"/>
        <v>0</v>
      </c>
      <c r="R166">
        <v>825797.91</v>
      </c>
      <c r="S166">
        <f t="shared" si="14"/>
        <v>777266.43969999999</v>
      </c>
      <c r="T166">
        <f t="shared" si="13"/>
        <v>-48531.470300000045</v>
      </c>
    </row>
    <row r="167" spans="1:20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  <c r="O167">
        <f t="shared" si="10"/>
        <v>1</v>
      </c>
      <c r="P167">
        <f t="shared" si="11"/>
        <v>0</v>
      </c>
      <c r="Q167">
        <f t="shared" si="12"/>
        <v>0</v>
      </c>
      <c r="R167">
        <v>706285.52</v>
      </c>
      <c r="S167">
        <f t="shared" si="14"/>
        <v>724349.92799999996</v>
      </c>
      <c r="T167">
        <f t="shared" si="13"/>
        <v>18064.407999999938</v>
      </c>
    </row>
    <row r="168" spans="1:20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  <c r="O168">
        <f t="shared" si="10"/>
        <v>1</v>
      </c>
      <c r="P168">
        <f t="shared" si="11"/>
        <v>0</v>
      </c>
      <c r="Q168">
        <f t="shared" si="12"/>
        <v>0</v>
      </c>
      <c r="R168">
        <v>665534.69999999995</v>
      </c>
      <c r="S168">
        <f t="shared" si="14"/>
        <v>667575.19640000002</v>
      </c>
      <c r="T168">
        <f t="shared" si="13"/>
        <v>2040.4964000000618</v>
      </c>
    </row>
    <row r="169" spans="1:20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  <c r="O169">
        <f t="shared" si="10"/>
        <v>1</v>
      </c>
      <c r="P169">
        <f t="shared" si="11"/>
        <v>0</v>
      </c>
      <c r="Q169">
        <f t="shared" si="12"/>
        <v>0</v>
      </c>
      <c r="R169">
        <v>820729.29</v>
      </c>
      <c r="S169">
        <f t="shared" si="14"/>
        <v>806459.06860000012</v>
      </c>
      <c r="T169">
        <f t="shared" si="13"/>
        <v>-14270.221399999922</v>
      </c>
    </row>
    <row r="170" spans="1:20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  <c r="O170">
        <f t="shared" si="10"/>
        <v>0</v>
      </c>
      <c r="P170">
        <f t="shared" si="11"/>
        <v>0</v>
      </c>
      <c r="Q170">
        <f t="shared" si="12"/>
        <v>0</v>
      </c>
      <c r="R170">
        <v>739831.73</v>
      </c>
      <c r="S170">
        <f t="shared" si="14"/>
        <v>768274.20519999997</v>
      </c>
      <c r="T170">
        <f t="shared" si="13"/>
        <v>28442.475199999986</v>
      </c>
    </row>
    <row r="171" spans="1:20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  <c r="O171">
        <f t="shared" si="10"/>
        <v>0</v>
      </c>
      <c r="P171">
        <f t="shared" si="11"/>
        <v>0</v>
      </c>
      <c r="Q171">
        <f t="shared" si="12"/>
        <v>0</v>
      </c>
      <c r="R171">
        <v>593637.14</v>
      </c>
      <c r="S171">
        <f t="shared" si="14"/>
        <v>664143.92219999991</v>
      </c>
      <c r="T171">
        <f t="shared" si="13"/>
        <v>70506.7821999999</v>
      </c>
    </row>
    <row r="172" spans="1:20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  <c r="O172">
        <f t="shared" si="10"/>
        <v>0</v>
      </c>
      <c r="P172">
        <f t="shared" si="11"/>
        <v>0</v>
      </c>
      <c r="Q172">
        <f t="shared" si="12"/>
        <v>0</v>
      </c>
      <c r="R172">
        <v>769702.76</v>
      </c>
      <c r="S172">
        <f t="shared" si="14"/>
        <v>733747.17220000003</v>
      </c>
      <c r="T172">
        <f t="shared" si="13"/>
        <v>-35955.587799999979</v>
      </c>
    </row>
    <row r="173" spans="1:20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  <c r="O173">
        <f t="shared" si="10"/>
        <v>0</v>
      </c>
      <c r="P173">
        <f t="shared" si="11"/>
        <v>0</v>
      </c>
      <c r="Q173">
        <f t="shared" si="12"/>
        <v>0</v>
      </c>
      <c r="R173">
        <v>679731.57</v>
      </c>
      <c r="S173">
        <f t="shared" si="14"/>
        <v>687914.08490000002</v>
      </c>
      <c r="T173">
        <f t="shared" si="13"/>
        <v>8182.5149000000674</v>
      </c>
    </row>
    <row r="174" spans="1:20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  <c r="O174">
        <f t="shared" si="10"/>
        <v>0</v>
      </c>
      <c r="P174">
        <f t="shared" si="11"/>
        <v>0</v>
      </c>
      <c r="Q174">
        <f t="shared" si="12"/>
        <v>0</v>
      </c>
      <c r="R174">
        <v>780344.18</v>
      </c>
      <c r="S174">
        <f t="shared" si="14"/>
        <v>771189.97409999999</v>
      </c>
      <c r="T174">
        <f t="shared" si="13"/>
        <v>-9154.205900000059</v>
      </c>
    </row>
    <row r="175" spans="1:20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  <c r="O175">
        <f t="shared" si="10"/>
        <v>0</v>
      </c>
      <c r="P175">
        <f t="shared" si="11"/>
        <v>0</v>
      </c>
      <c r="Q175">
        <f t="shared" si="12"/>
        <v>0</v>
      </c>
      <c r="R175">
        <v>721364.11</v>
      </c>
      <c r="S175">
        <f t="shared" si="14"/>
        <v>755307.3162</v>
      </c>
      <c r="T175">
        <f t="shared" si="13"/>
        <v>33943.206200000015</v>
      </c>
    </row>
    <row r="176" spans="1:20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  <c r="O176">
        <f t="shared" si="10"/>
        <v>0</v>
      </c>
      <c r="P176">
        <f t="shared" si="11"/>
        <v>0</v>
      </c>
      <c r="Q176">
        <f t="shared" si="12"/>
        <v>0</v>
      </c>
      <c r="R176">
        <v>758138.29</v>
      </c>
      <c r="S176">
        <f t="shared" si="14"/>
        <v>781682.52749999997</v>
      </c>
      <c r="T176">
        <f t="shared" si="13"/>
        <v>23544.23749999993</v>
      </c>
    </row>
    <row r="177" spans="1:20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  <c r="O177">
        <f t="shared" si="10"/>
        <v>0</v>
      </c>
      <c r="P177">
        <f t="shared" si="11"/>
        <v>0</v>
      </c>
      <c r="Q177">
        <f t="shared" si="12"/>
        <v>0</v>
      </c>
      <c r="R177">
        <v>804264</v>
      </c>
      <c r="S177">
        <f t="shared" si="14"/>
        <v>823428.25760000001</v>
      </c>
      <c r="T177">
        <f t="shared" si="13"/>
        <v>19164.257600000012</v>
      </c>
    </row>
    <row r="178" spans="1:20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  <c r="O178">
        <f t="shared" si="10"/>
        <v>0</v>
      </c>
      <c r="P178">
        <f t="shared" si="11"/>
        <v>0</v>
      </c>
      <c r="Q178">
        <f t="shared" si="12"/>
        <v>1</v>
      </c>
      <c r="R178">
        <v>887537.75</v>
      </c>
      <c r="S178">
        <f t="shared" si="14"/>
        <v>863811.60309999983</v>
      </c>
      <c r="T178">
        <f t="shared" si="13"/>
        <v>-23726.146900000167</v>
      </c>
    </row>
    <row r="179" spans="1:20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  <c r="O179">
        <f t="shared" si="10"/>
        <v>0</v>
      </c>
      <c r="P179">
        <f t="shared" si="11"/>
        <v>0</v>
      </c>
      <c r="Q179">
        <f t="shared" si="12"/>
        <v>1</v>
      </c>
      <c r="R179">
        <v>783582</v>
      </c>
      <c r="S179">
        <f t="shared" si="14"/>
        <v>708520.0098</v>
      </c>
      <c r="T179">
        <f t="shared" si="13"/>
        <v>-75061.9902</v>
      </c>
    </row>
    <row r="180" spans="1:20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  <c r="O180">
        <f t="shared" si="10"/>
        <v>0</v>
      </c>
      <c r="P180">
        <f t="shared" si="11"/>
        <v>0</v>
      </c>
      <c r="Q180">
        <f t="shared" si="12"/>
        <v>1</v>
      </c>
      <c r="R180">
        <v>781955.52</v>
      </c>
      <c r="S180">
        <f t="shared" si="14"/>
        <v>741672.32309999992</v>
      </c>
      <c r="T180">
        <f t="shared" si="13"/>
        <v>-40283.196900000097</v>
      </c>
    </row>
    <row r="181" spans="1:20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  <c r="O181">
        <f t="shared" si="10"/>
        <v>0</v>
      </c>
      <c r="P181">
        <f t="shared" si="11"/>
        <v>0</v>
      </c>
      <c r="Q181">
        <f t="shared" si="12"/>
        <v>1</v>
      </c>
      <c r="R181">
        <v>898031.04</v>
      </c>
      <c r="S181">
        <f t="shared" si="14"/>
        <v>829238.48239999998</v>
      </c>
      <c r="T181">
        <f t="shared" si="13"/>
        <v>-68792.557600000058</v>
      </c>
    </row>
    <row r="182" spans="1:20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  <c r="O182">
        <f t="shared" si="10"/>
        <v>0</v>
      </c>
      <c r="P182">
        <f t="shared" si="11"/>
        <v>0</v>
      </c>
      <c r="Q182">
        <f t="shared" si="12"/>
        <v>1</v>
      </c>
      <c r="R182">
        <v>855341.28</v>
      </c>
      <c r="S182">
        <f t="shared" si="14"/>
        <v>860190.05489999999</v>
      </c>
      <c r="T182">
        <f t="shared" si="13"/>
        <v>4848.7748999999603</v>
      </c>
    </row>
    <row r="183" spans="1:20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  <c r="O183">
        <f t="shared" si="10"/>
        <v>0</v>
      </c>
      <c r="P183">
        <f t="shared" si="11"/>
        <v>0</v>
      </c>
      <c r="Q183">
        <f t="shared" si="12"/>
        <v>1</v>
      </c>
      <c r="R183">
        <v>751393.88</v>
      </c>
      <c r="S183">
        <f t="shared" si="14"/>
        <v>760794.72149999999</v>
      </c>
      <c r="T183">
        <f t="shared" si="13"/>
        <v>9400.8414999999804</v>
      </c>
    </row>
    <row r="184" spans="1:20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  <c r="O184">
        <f t="shared" si="10"/>
        <v>0</v>
      </c>
      <c r="P184">
        <f t="shared" si="11"/>
        <v>0</v>
      </c>
      <c r="Q184">
        <f t="shared" si="12"/>
        <v>1</v>
      </c>
      <c r="R184">
        <v>761077.08</v>
      </c>
      <c r="S184">
        <f t="shared" si="14"/>
        <v>772704.82169999985</v>
      </c>
      <c r="T184">
        <f t="shared" si="13"/>
        <v>11627.741699999897</v>
      </c>
    </row>
    <row r="185" spans="1:20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  <c r="O185">
        <f t="shared" si="10"/>
        <v>0</v>
      </c>
      <c r="P185">
        <f t="shared" si="11"/>
        <v>0</v>
      </c>
      <c r="Q185">
        <f t="shared" si="12"/>
        <v>1</v>
      </c>
      <c r="R185">
        <v>819660.59</v>
      </c>
      <c r="S185">
        <f t="shared" si="14"/>
        <v>835629.23820000002</v>
      </c>
      <c r="T185">
        <f t="shared" si="13"/>
        <v>15968.648200000054</v>
      </c>
    </row>
    <row r="186" spans="1:20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  <c r="O186">
        <f t="shared" si="10"/>
        <v>1</v>
      </c>
      <c r="P186">
        <f t="shared" si="11"/>
        <v>0</v>
      </c>
      <c r="Q186">
        <f t="shared" si="12"/>
        <v>0</v>
      </c>
      <c r="R186">
        <v>681855.56</v>
      </c>
      <c r="S186">
        <f t="shared" si="14"/>
        <v>697749.57479999994</v>
      </c>
      <c r="T186">
        <f t="shared" si="13"/>
        <v>15894.014799999888</v>
      </c>
    </row>
    <row r="187" spans="1:20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  <c r="O187">
        <f t="shared" si="10"/>
        <v>1</v>
      </c>
      <c r="P187">
        <f t="shared" si="11"/>
        <v>0</v>
      </c>
      <c r="Q187">
        <f t="shared" si="12"/>
        <v>0</v>
      </c>
      <c r="R187">
        <v>678311.17</v>
      </c>
      <c r="S187">
        <f t="shared" si="14"/>
        <v>657037.96220000007</v>
      </c>
      <c r="T187">
        <f t="shared" si="13"/>
        <v>-21273.207799999975</v>
      </c>
    </row>
    <row r="188" spans="1:20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  <c r="O188">
        <f t="shared" si="10"/>
        <v>1</v>
      </c>
      <c r="P188">
        <f t="shared" si="11"/>
        <v>0</v>
      </c>
      <c r="Q188">
        <f t="shared" si="12"/>
        <v>0</v>
      </c>
      <c r="R188">
        <v>765906.95</v>
      </c>
      <c r="S188">
        <f t="shared" si="14"/>
        <v>698865.17059999995</v>
      </c>
      <c r="T188">
        <f t="shared" si="13"/>
        <v>-67041.779399999999</v>
      </c>
    </row>
    <row r="189" spans="1:20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  <c r="O189">
        <f t="shared" si="10"/>
        <v>1</v>
      </c>
      <c r="P189">
        <f t="shared" si="11"/>
        <v>0</v>
      </c>
      <c r="Q189">
        <f t="shared" si="12"/>
        <v>0</v>
      </c>
      <c r="R189">
        <v>712546.38</v>
      </c>
      <c r="S189">
        <f t="shared" si="14"/>
        <v>708362.37100000004</v>
      </c>
      <c r="T189">
        <f t="shared" si="13"/>
        <v>-4184.0089999999618</v>
      </c>
    </row>
    <row r="190" spans="1:20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  <c r="O190">
        <f t="shared" si="10"/>
        <v>0</v>
      </c>
      <c r="P190">
        <f t="shared" si="11"/>
        <v>0</v>
      </c>
      <c r="Q190">
        <f t="shared" si="12"/>
        <v>0</v>
      </c>
      <c r="R190">
        <v>625993.82999999996</v>
      </c>
      <c r="S190">
        <f t="shared" si="14"/>
        <v>578955.73499999999</v>
      </c>
      <c r="T190">
        <f t="shared" si="13"/>
        <v>-47038.094999999972</v>
      </c>
    </row>
    <row r="191" spans="1:20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  <c r="O191">
        <f t="shared" si="10"/>
        <v>0</v>
      </c>
      <c r="P191">
        <f t="shared" si="11"/>
        <v>0</v>
      </c>
      <c r="Q191">
        <f t="shared" si="12"/>
        <v>0</v>
      </c>
      <c r="R191">
        <v>550962.93000000005</v>
      </c>
      <c r="S191">
        <f t="shared" si="14"/>
        <v>533458.76890000002</v>
      </c>
      <c r="T191">
        <f t="shared" si="13"/>
        <v>-17504.161100000027</v>
      </c>
    </row>
    <row r="192" spans="1:20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  <c r="O192">
        <f t="shared" si="10"/>
        <v>0</v>
      </c>
      <c r="P192">
        <f t="shared" si="11"/>
        <v>0</v>
      </c>
      <c r="Q192">
        <f t="shared" si="12"/>
        <v>0</v>
      </c>
      <c r="R192">
        <v>443275.59</v>
      </c>
      <c r="S192">
        <f t="shared" si="14"/>
        <v>456288.92819999997</v>
      </c>
      <c r="T192">
        <f t="shared" si="13"/>
        <v>13013.33819999994</v>
      </c>
    </row>
    <row r="193" spans="1:20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  <c r="O193">
        <f t="shared" si="10"/>
        <v>0</v>
      </c>
      <c r="P193">
        <f t="shared" si="11"/>
        <v>0</v>
      </c>
      <c r="Q193">
        <f t="shared" si="12"/>
        <v>0</v>
      </c>
      <c r="R193">
        <v>554012.06999999995</v>
      </c>
      <c r="S193">
        <f t="shared" si="14"/>
        <v>596652.30119999999</v>
      </c>
      <c r="T193">
        <f t="shared" si="13"/>
        <v>42640.231200000038</v>
      </c>
    </row>
    <row r="194" spans="1:20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  <c r="O194">
        <f t="shared" si="10"/>
        <v>0</v>
      </c>
      <c r="P194">
        <f t="shared" si="11"/>
        <v>0</v>
      </c>
      <c r="Q194">
        <f t="shared" si="12"/>
        <v>1</v>
      </c>
      <c r="R194">
        <v>643428.85</v>
      </c>
      <c r="S194">
        <f t="shared" si="14"/>
        <v>703225.44959999993</v>
      </c>
      <c r="T194">
        <f t="shared" si="13"/>
        <v>59796.599599999958</v>
      </c>
    </row>
    <row r="195" spans="1:20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  <c r="O195">
        <f t="shared" ref="O195:O258" si="15">IF(C195="North",1,0)</f>
        <v>0</v>
      </c>
      <c r="P195">
        <f t="shared" ref="P195:P258" si="16">IF(C195="South",1,0)</f>
        <v>0</v>
      </c>
      <c r="Q195">
        <f t="shared" ref="Q195:Q258" si="17">IF(C195="West",1,0)</f>
        <v>1</v>
      </c>
      <c r="R195">
        <v>611924.27</v>
      </c>
      <c r="S195">
        <f t="shared" si="14"/>
        <v>633642.54669999995</v>
      </c>
      <c r="T195">
        <f t="shared" ref="T195:T258" si="18">S195-R195</f>
        <v>21718.276699999929</v>
      </c>
    </row>
    <row r="196" spans="1:20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  <c r="O196">
        <f t="shared" si="15"/>
        <v>0</v>
      </c>
      <c r="P196">
        <f t="shared" si="16"/>
        <v>0</v>
      </c>
      <c r="Q196">
        <f t="shared" si="17"/>
        <v>1</v>
      </c>
      <c r="R196">
        <v>559422.02</v>
      </c>
      <c r="S196">
        <f t="shared" ref="S196:S259" si="19">131460.31+(1.19*E196)+(33.87*F196)+(2818.21*I196)+(10547.38*O196)+(21940.49*P196)+(17491.37*Q196)</f>
        <v>569000.89019999991</v>
      </c>
      <c r="T196">
        <f t="shared" si="18"/>
        <v>9578.8701999998884</v>
      </c>
    </row>
    <row r="197" spans="1:20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L197">
        <v>3.92</v>
      </c>
      <c r="M197">
        <v>449465.06</v>
      </c>
      <c r="N197">
        <v>65694.78</v>
      </c>
      <c r="O197">
        <f t="shared" si="15"/>
        <v>0</v>
      </c>
      <c r="P197">
        <f t="shared" si="16"/>
        <v>0</v>
      </c>
      <c r="Q197">
        <f t="shared" si="17"/>
        <v>1</v>
      </c>
      <c r="R197">
        <v>449465.06</v>
      </c>
      <c r="S197">
        <f t="shared" si="19"/>
        <v>545381.85560000001</v>
      </c>
      <c r="T197">
        <f t="shared" si="18"/>
        <v>95916.795600000012</v>
      </c>
    </row>
    <row r="198" spans="1:20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  <c r="O198">
        <f t="shared" si="15"/>
        <v>1</v>
      </c>
      <c r="P198">
        <f t="shared" si="16"/>
        <v>0</v>
      </c>
      <c r="Q198">
        <f t="shared" si="17"/>
        <v>0</v>
      </c>
      <c r="R198">
        <v>691447.43</v>
      </c>
      <c r="S198">
        <f t="shared" si="19"/>
        <v>648356.43150000006</v>
      </c>
      <c r="T198">
        <f t="shared" si="18"/>
        <v>-43090.998499999987</v>
      </c>
    </row>
    <row r="199" spans="1:20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  <c r="O199">
        <f t="shared" si="15"/>
        <v>1</v>
      </c>
      <c r="P199">
        <f t="shared" si="16"/>
        <v>0</v>
      </c>
      <c r="Q199">
        <f t="shared" si="17"/>
        <v>0</v>
      </c>
      <c r="R199">
        <v>574066.61</v>
      </c>
      <c r="S199">
        <f t="shared" si="19"/>
        <v>609477.30369999993</v>
      </c>
      <c r="T199">
        <f t="shared" si="18"/>
        <v>35410.693699999945</v>
      </c>
    </row>
    <row r="200" spans="1:20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  <c r="O200">
        <f t="shared" si="15"/>
        <v>1</v>
      </c>
      <c r="P200">
        <f t="shared" si="16"/>
        <v>0</v>
      </c>
      <c r="Q200">
        <f t="shared" si="17"/>
        <v>0</v>
      </c>
      <c r="R200">
        <v>578949.84</v>
      </c>
      <c r="S200">
        <f t="shared" si="19"/>
        <v>618960.59270000004</v>
      </c>
      <c r="T200">
        <f t="shared" si="18"/>
        <v>40010.75270000007</v>
      </c>
    </row>
    <row r="201" spans="1:20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  <c r="O201">
        <f t="shared" si="15"/>
        <v>1</v>
      </c>
      <c r="P201">
        <f t="shared" si="16"/>
        <v>0</v>
      </c>
      <c r="Q201">
        <f t="shared" si="17"/>
        <v>0</v>
      </c>
      <c r="R201">
        <v>735786.64</v>
      </c>
      <c r="S201">
        <f t="shared" si="19"/>
        <v>657528.08200000005</v>
      </c>
      <c r="T201">
        <f t="shared" si="18"/>
        <v>-78258.557999999961</v>
      </c>
    </row>
    <row r="202" spans="1:20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  <c r="O202">
        <f t="shared" si="15"/>
        <v>0</v>
      </c>
      <c r="P202">
        <f t="shared" si="16"/>
        <v>0</v>
      </c>
      <c r="Q202">
        <f t="shared" si="17"/>
        <v>0</v>
      </c>
      <c r="R202">
        <v>598904.9</v>
      </c>
      <c r="S202">
        <f t="shared" si="19"/>
        <v>597001.82869999995</v>
      </c>
      <c r="T202">
        <f t="shared" si="18"/>
        <v>-1903.0713000000687</v>
      </c>
    </row>
    <row r="203" spans="1:20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  <c r="O203">
        <f t="shared" si="15"/>
        <v>0</v>
      </c>
      <c r="P203">
        <f t="shared" si="16"/>
        <v>0</v>
      </c>
      <c r="Q203">
        <f t="shared" si="17"/>
        <v>0</v>
      </c>
      <c r="R203">
        <v>787715.51</v>
      </c>
      <c r="S203">
        <f t="shared" si="19"/>
        <v>677256.80330000003</v>
      </c>
      <c r="T203">
        <f t="shared" si="18"/>
        <v>-110458.70669999998</v>
      </c>
    </row>
    <row r="204" spans="1:20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  <c r="O204">
        <f t="shared" si="15"/>
        <v>0</v>
      </c>
      <c r="P204">
        <f t="shared" si="16"/>
        <v>0</v>
      </c>
      <c r="Q204">
        <f t="shared" si="17"/>
        <v>0</v>
      </c>
      <c r="R204">
        <v>607084.92000000004</v>
      </c>
      <c r="S204">
        <f t="shared" si="19"/>
        <v>634631.04169999994</v>
      </c>
      <c r="T204">
        <f t="shared" si="18"/>
        <v>27546.121699999901</v>
      </c>
    </row>
    <row r="205" spans="1:20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  <c r="O205">
        <f t="shared" si="15"/>
        <v>0</v>
      </c>
      <c r="P205">
        <f t="shared" si="16"/>
        <v>0</v>
      </c>
      <c r="Q205">
        <f t="shared" si="17"/>
        <v>0</v>
      </c>
      <c r="R205">
        <v>650795.49</v>
      </c>
      <c r="S205">
        <f t="shared" si="19"/>
        <v>661447.68020000006</v>
      </c>
      <c r="T205">
        <f t="shared" si="18"/>
        <v>10652.19020000007</v>
      </c>
    </row>
    <row r="206" spans="1:20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  <c r="O206">
        <f t="shared" si="15"/>
        <v>0</v>
      </c>
      <c r="P206">
        <f t="shared" si="16"/>
        <v>0</v>
      </c>
      <c r="Q206">
        <f t="shared" si="17"/>
        <v>0</v>
      </c>
      <c r="R206">
        <v>825060.52</v>
      </c>
      <c r="S206">
        <f t="shared" si="19"/>
        <v>827756.89959999989</v>
      </c>
      <c r="T206">
        <f t="shared" si="18"/>
        <v>2696.3795999998692</v>
      </c>
    </row>
    <row r="207" spans="1:20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  <c r="O207">
        <f t="shared" si="15"/>
        <v>0</v>
      </c>
      <c r="P207">
        <f t="shared" si="16"/>
        <v>0</v>
      </c>
      <c r="Q207">
        <f t="shared" si="17"/>
        <v>0</v>
      </c>
      <c r="R207">
        <v>795464.47</v>
      </c>
      <c r="S207">
        <f t="shared" si="19"/>
        <v>727998.15629999992</v>
      </c>
      <c r="T207">
        <f t="shared" si="18"/>
        <v>-67466.313700000057</v>
      </c>
    </row>
    <row r="208" spans="1:20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  <c r="O208">
        <f t="shared" si="15"/>
        <v>0</v>
      </c>
      <c r="P208">
        <f t="shared" si="16"/>
        <v>0</v>
      </c>
      <c r="Q208">
        <f t="shared" si="17"/>
        <v>0</v>
      </c>
      <c r="R208">
        <v>671868.59</v>
      </c>
      <c r="S208">
        <f t="shared" si="19"/>
        <v>725550.77850000001</v>
      </c>
      <c r="T208">
        <f t="shared" si="18"/>
        <v>53682.188500000047</v>
      </c>
    </row>
    <row r="209" spans="1:20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  <c r="O209">
        <f t="shared" si="15"/>
        <v>0</v>
      </c>
      <c r="P209">
        <f t="shared" si="16"/>
        <v>0</v>
      </c>
      <c r="Q209">
        <f t="shared" si="17"/>
        <v>0</v>
      </c>
      <c r="R209">
        <v>675917.63</v>
      </c>
      <c r="S209">
        <f t="shared" si="19"/>
        <v>743599.83369999996</v>
      </c>
      <c r="T209">
        <f t="shared" si="18"/>
        <v>67682.203699999955</v>
      </c>
    </row>
    <row r="210" spans="1:20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  <c r="O210">
        <f t="shared" si="15"/>
        <v>0</v>
      </c>
      <c r="P210">
        <f t="shared" si="16"/>
        <v>0</v>
      </c>
      <c r="Q210">
        <f t="shared" si="17"/>
        <v>0</v>
      </c>
      <c r="R210">
        <v>810446.53</v>
      </c>
      <c r="S210">
        <f t="shared" si="19"/>
        <v>795092.3861</v>
      </c>
      <c r="T210">
        <f t="shared" si="18"/>
        <v>-15354.143900000025</v>
      </c>
    </row>
    <row r="211" spans="1:20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  <c r="O211">
        <f t="shared" si="15"/>
        <v>0</v>
      </c>
      <c r="P211">
        <f t="shared" si="16"/>
        <v>0</v>
      </c>
      <c r="Q211">
        <f t="shared" si="17"/>
        <v>0</v>
      </c>
      <c r="R211">
        <v>691288.19</v>
      </c>
      <c r="S211">
        <f t="shared" si="19"/>
        <v>765978.94199999992</v>
      </c>
      <c r="T211">
        <f t="shared" si="18"/>
        <v>74690.751999999979</v>
      </c>
    </row>
    <row r="212" spans="1:20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  <c r="O212">
        <f t="shared" si="15"/>
        <v>0</v>
      </c>
      <c r="P212">
        <f t="shared" si="16"/>
        <v>0</v>
      </c>
      <c r="Q212">
        <f t="shared" si="17"/>
        <v>0</v>
      </c>
      <c r="R212">
        <v>946833.54</v>
      </c>
      <c r="S212">
        <f t="shared" si="19"/>
        <v>954281.59309999994</v>
      </c>
      <c r="T212">
        <f t="shared" si="18"/>
        <v>7448.0530999999028</v>
      </c>
    </row>
    <row r="213" spans="1:20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  <c r="O213">
        <f t="shared" si="15"/>
        <v>0</v>
      </c>
      <c r="P213">
        <f t="shared" si="16"/>
        <v>0</v>
      </c>
      <c r="Q213">
        <f t="shared" si="17"/>
        <v>0</v>
      </c>
      <c r="R213">
        <v>761963.23</v>
      </c>
      <c r="S213">
        <f t="shared" si="19"/>
        <v>765737.66249999998</v>
      </c>
      <c r="T213">
        <f t="shared" si="18"/>
        <v>3774.4324999999953</v>
      </c>
    </row>
    <row r="214" spans="1:20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  <c r="O214">
        <f t="shared" si="15"/>
        <v>0</v>
      </c>
      <c r="P214">
        <f t="shared" si="16"/>
        <v>0</v>
      </c>
      <c r="Q214">
        <f t="shared" si="17"/>
        <v>1</v>
      </c>
      <c r="R214">
        <v>812152.6</v>
      </c>
      <c r="S214">
        <f t="shared" si="19"/>
        <v>784235.54440000001</v>
      </c>
      <c r="T214">
        <f t="shared" si="18"/>
        <v>-27917.055599999963</v>
      </c>
    </row>
    <row r="215" spans="1:20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  <c r="O215">
        <f t="shared" si="15"/>
        <v>0</v>
      </c>
      <c r="P215">
        <f t="shared" si="16"/>
        <v>0</v>
      </c>
      <c r="Q215">
        <f t="shared" si="17"/>
        <v>1</v>
      </c>
      <c r="R215">
        <v>804975.5</v>
      </c>
      <c r="S215">
        <f t="shared" si="19"/>
        <v>773958.37549999997</v>
      </c>
      <c r="T215">
        <f t="shared" si="18"/>
        <v>-31017.124500000034</v>
      </c>
    </row>
    <row r="216" spans="1:20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  <c r="O216">
        <f t="shared" si="15"/>
        <v>0</v>
      </c>
      <c r="P216">
        <f t="shared" si="16"/>
        <v>0</v>
      </c>
      <c r="Q216">
        <f t="shared" si="17"/>
        <v>1</v>
      </c>
      <c r="R216">
        <v>752321.72</v>
      </c>
      <c r="S216">
        <f t="shared" si="19"/>
        <v>765599.32259999996</v>
      </c>
      <c r="T216">
        <f t="shared" si="18"/>
        <v>13277.602599999984</v>
      </c>
    </row>
    <row r="217" spans="1:20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  <c r="O217">
        <f t="shared" si="15"/>
        <v>0</v>
      </c>
      <c r="P217">
        <f t="shared" si="16"/>
        <v>0</v>
      </c>
      <c r="Q217">
        <f t="shared" si="17"/>
        <v>1</v>
      </c>
      <c r="R217">
        <v>836908.24</v>
      </c>
      <c r="S217">
        <f t="shared" si="19"/>
        <v>834633.72109999985</v>
      </c>
      <c r="T217">
        <f t="shared" si="18"/>
        <v>-2274.518900000141</v>
      </c>
    </row>
    <row r="218" spans="1:20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  <c r="O218">
        <f t="shared" si="15"/>
        <v>1</v>
      </c>
      <c r="P218">
        <f t="shared" si="16"/>
        <v>0</v>
      </c>
      <c r="Q218">
        <f t="shared" si="17"/>
        <v>0</v>
      </c>
      <c r="R218">
        <v>674289.1</v>
      </c>
      <c r="S218">
        <f t="shared" si="19"/>
        <v>640656.9216</v>
      </c>
      <c r="T218">
        <f t="shared" si="18"/>
        <v>-33632.178399999975</v>
      </c>
    </row>
    <row r="219" spans="1:20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  <c r="O219">
        <f t="shared" si="15"/>
        <v>1</v>
      </c>
      <c r="P219">
        <f t="shared" si="16"/>
        <v>0</v>
      </c>
      <c r="Q219">
        <f t="shared" si="17"/>
        <v>0</v>
      </c>
      <c r="R219">
        <v>622892.42000000004</v>
      </c>
      <c r="S219">
        <f t="shared" si="19"/>
        <v>618033.99569999997</v>
      </c>
      <c r="T219">
        <f t="shared" si="18"/>
        <v>-4858.4243000000715</v>
      </c>
    </row>
    <row r="220" spans="1:20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  <c r="O220">
        <f t="shared" si="15"/>
        <v>1</v>
      </c>
      <c r="P220">
        <f t="shared" si="16"/>
        <v>0</v>
      </c>
      <c r="Q220">
        <f t="shared" si="17"/>
        <v>0</v>
      </c>
      <c r="R220">
        <v>673348.56</v>
      </c>
      <c r="S220">
        <f t="shared" si="19"/>
        <v>618871.16969999997</v>
      </c>
      <c r="T220">
        <f t="shared" si="18"/>
        <v>-54477.390300000086</v>
      </c>
    </row>
    <row r="221" spans="1:20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  <c r="O221">
        <f t="shared" si="15"/>
        <v>1</v>
      </c>
      <c r="P221">
        <f t="shared" si="16"/>
        <v>0</v>
      </c>
      <c r="Q221">
        <f t="shared" si="17"/>
        <v>0</v>
      </c>
      <c r="R221">
        <v>606278.30000000005</v>
      </c>
      <c r="S221">
        <f t="shared" si="19"/>
        <v>590295.59050000005</v>
      </c>
      <c r="T221">
        <f t="shared" si="18"/>
        <v>-15982.709499999997</v>
      </c>
    </row>
    <row r="222" spans="1:20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  <c r="O222">
        <f t="shared" si="15"/>
        <v>0</v>
      </c>
      <c r="P222">
        <f t="shared" si="16"/>
        <v>0</v>
      </c>
      <c r="Q222">
        <f t="shared" si="17"/>
        <v>0</v>
      </c>
      <c r="R222">
        <v>712219.81</v>
      </c>
      <c r="S222">
        <f t="shared" si="19"/>
        <v>697243.90469999996</v>
      </c>
      <c r="T222">
        <f t="shared" si="18"/>
        <v>-14975.9053000001</v>
      </c>
    </row>
    <row r="223" spans="1:20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  <c r="O223">
        <f t="shared" si="15"/>
        <v>0</v>
      </c>
      <c r="P223">
        <f t="shared" si="16"/>
        <v>0</v>
      </c>
      <c r="Q223">
        <f t="shared" si="17"/>
        <v>0</v>
      </c>
      <c r="R223">
        <v>672670.54</v>
      </c>
      <c r="S223">
        <f t="shared" si="19"/>
        <v>668797.95360000001</v>
      </c>
      <c r="T223">
        <f t="shared" si="18"/>
        <v>-3872.5864000000292</v>
      </c>
    </row>
    <row r="224" spans="1:20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  <c r="O224">
        <f t="shared" si="15"/>
        <v>0</v>
      </c>
      <c r="P224">
        <f t="shared" si="16"/>
        <v>0</v>
      </c>
      <c r="Q224">
        <f t="shared" si="17"/>
        <v>0</v>
      </c>
      <c r="R224">
        <v>732667.92</v>
      </c>
      <c r="S224">
        <f t="shared" si="19"/>
        <v>732807.75459999999</v>
      </c>
      <c r="T224">
        <f t="shared" si="18"/>
        <v>139.83459999994375</v>
      </c>
    </row>
    <row r="225" spans="1:20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  <c r="O225">
        <f t="shared" si="15"/>
        <v>0</v>
      </c>
      <c r="P225">
        <f t="shared" si="16"/>
        <v>0</v>
      </c>
      <c r="Q225">
        <f t="shared" si="17"/>
        <v>0</v>
      </c>
      <c r="R225">
        <v>723531.4</v>
      </c>
      <c r="S225">
        <f t="shared" si="19"/>
        <v>753972.52209999994</v>
      </c>
      <c r="T225">
        <f t="shared" si="18"/>
        <v>30441.12209999992</v>
      </c>
    </row>
    <row r="226" spans="1:20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  <c r="O226">
        <f t="shared" si="15"/>
        <v>0</v>
      </c>
      <c r="P226">
        <f t="shared" si="16"/>
        <v>0</v>
      </c>
      <c r="Q226">
        <f t="shared" si="17"/>
        <v>0</v>
      </c>
      <c r="R226">
        <v>641564.6</v>
      </c>
      <c r="S226">
        <f t="shared" si="19"/>
        <v>605046.39110000001</v>
      </c>
      <c r="T226">
        <f t="shared" si="18"/>
        <v>-36518.208899999969</v>
      </c>
    </row>
    <row r="227" spans="1:20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  <c r="O227">
        <f t="shared" si="15"/>
        <v>0</v>
      </c>
      <c r="P227">
        <f t="shared" si="16"/>
        <v>0</v>
      </c>
      <c r="Q227">
        <f t="shared" si="17"/>
        <v>0</v>
      </c>
      <c r="R227">
        <v>536545.49</v>
      </c>
      <c r="S227">
        <f t="shared" si="19"/>
        <v>519865.46120000002</v>
      </c>
      <c r="T227">
        <f t="shared" si="18"/>
        <v>-16680.028799999971</v>
      </c>
    </row>
    <row r="228" spans="1:20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  <c r="O228">
        <f t="shared" si="15"/>
        <v>0</v>
      </c>
      <c r="P228">
        <f t="shared" si="16"/>
        <v>0</v>
      </c>
      <c r="Q228">
        <f t="shared" si="17"/>
        <v>0</v>
      </c>
      <c r="R228">
        <v>527681.56000000006</v>
      </c>
      <c r="S228">
        <f t="shared" si="19"/>
        <v>548169.12580000004</v>
      </c>
      <c r="T228">
        <f t="shared" si="18"/>
        <v>20487.565799999982</v>
      </c>
    </row>
    <row r="229" spans="1:20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L229">
        <v>3.92</v>
      </c>
      <c r="M229">
        <v>529598.93999999994</v>
      </c>
      <c r="N229">
        <v>84334.33</v>
      </c>
      <c r="O229">
        <f t="shared" si="15"/>
        <v>0</v>
      </c>
      <c r="P229">
        <f t="shared" si="16"/>
        <v>0</v>
      </c>
      <c r="Q229">
        <f t="shared" si="17"/>
        <v>0</v>
      </c>
      <c r="R229">
        <v>529598.93999999994</v>
      </c>
      <c r="S229">
        <f t="shared" si="19"/>
        <v>492577.83549999999</v>
      </c>
      <c r="T229">
        <f t="shared" si="18"/>
        <v>-37021.104499999958</v>
      </c>
    </row>
    <row r="230" spans="1:20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  <c r="O230">
        <f t="shared" si="15"/>
        <v>0</v>
      </c>
      <c r="P230">
        <f t="shared" si="16"/>
        <v>0</v>
      </c>
      <c r="Q230">
        <f t="shared" si="17"/>
        <v>0</v>
      </c>
      <c r="R230">
        <v>570963.31000000006</v>
      </c>
      <c r="S230">
        <f t="shared" si="19"/>
        <v>619723.97270000004</v>
      </c>
      <c r="T230">
        <f t="shared" si="18"/>
        <v>48760.662699999986</v>
      </c>
    </row>
    <row r="231" spans="1:20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  <c r="O231">
        <f t="shared" si="15"/>
        <v>0</v>
      </c>
      <c r="P231">
        <f t="shared" si="16"/>
        <v>0</v>
      </c>
      <c r="Q231">
        <f t="shared" si="17"/>
        <v>0</v>
      </c>
      <c r="R231">
        <v>870937.4</v>
      </c>
      <c r="S231">
        <f t="shared" si="19"/>
        <v>813244.92200000002</v>
      </c>
      <c r="T231">
        <f t="shared" si="18"/>
        <v>-57692.478000000003</v>
      </c>
    </row>
    <row r="232" spans="1:20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  <c r="O232">
        <f t="shared" si="15"/>
        <v>0</v>
      </c>
      <c r="P232">
        <f t="shared" si="16"/>
        <v>0</v>
      </c>
      <c r="Q232">
        <f t="shared" si="17"/>
        <v>0</v>
      </c>
      <c r="R232">
        <v>596969.27</v>
      </c>
      <c r="S232">
        <f t="shared" si="19"/>
        <v>630473.38450000004</v>
      </c>
      <c r="T232">
        <f t="shared" si="18"/>
        <v>33504.114500000025</v>
      </c>
    </row>
    <row r="233" spans="1:20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J233">
        <v>4.45</v>
      </c>
      <c r="K233">
        <v>0</v>
      </c>
      <c r="L233">
        <v>3.7</v>
      </c>
      <c r="M233">
        <v>647512.85</v>
      </c>
      <c r="N233">
        <v>153835.57</v>
      </c>
      <c r="O233">
        <f t="shared" si="15"/>
        <v>0</v>
      </c>
      <c r="P233">
        <f t="shared" si="16"/>
        <v>0</v>
      </c>
      <c r="Q233">
        <f t="shared" si="17"/>
        <v>0</v>
      </c>
      <c r="R233">
        <v>647512.85</v>
      </c>
      <c r="S233">
        <f t="shared" si="19"/>
        <v>615869.64919999999</v>
      </c>
      <c r="T233">
        <f t="shared" si="18"/>
        <v>-31643.200799999991</v>
      </c>
    </row>
    <row r="234" spans="1:20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  <c r="O234">
        <f t="shared" si="15"/>
        <v>0</v>
      </c>
      <c r="P234">
        <f t="shared" si="16"/>
        <v>0</v>
      </c>
      <c r="Q234">
        <f t="shared" si="17"/>
        <v>1</v>
      </c>
      <c r="R234">
        <v>658072.14</v>
      </c>
      <c r="S234">
        <f t="shared" si="19"/>
        <v>618166.65780000004</v>
      </c>
      <c r="T234">
        <f t="shared" si="18"/>
        <v>-39905.482199999969</v>
      </c>
    </row>
    <row r="235" spans="1:20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  <c r="O235">
        <f t="shared" si="15"/>
        <v>0</v>
      </c>
      <c r="P235">
        <f t="shared" si="16"/>
        <v>0</v>
      </c>
      <c r="Q235">
        <f t="shared" si="17"/>
        <v>1</v>
      </c>
      <c r="R235">
        <v>723305.11</v>
      </c>
      <c r="S235">
        <f t="shared" si="19"/>
        <v>653922.72210000001</v>
      </c>
      <c r="T235">
        <f t="shared" si="18"/>
        <v>-69382.387899999972</v>
      </c>
    </row>
    <row r="236" spans="1:20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  <c r="O236">
        <f t="shared" si="15"/>
        <v>0</v>
      </c>
      <c r="P236">
        <f t="shared" si="16"/>
        <v>0</v>
      </c>
      <c r="Q236">
        <f t="shared" si="17"/>
        <v>1</v>
      </c>
      <c r="R236">
        <v>640666.53</v>
      </c>
      <c r="S236">
        <f t="shared" si="19"/>
        <v>637837.48690000002</v>
      </c>
      <c r="T236">
        <f t="shared" si="18"/>
        <v>-2829.0431000000099</v>
      </c>
    </row>
    <row r="237" spans="1:20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  <c r="O237">
        <f t="shared" si="15"/>
        <v>0</v>
      </c>
      <c r="P237">
        <f t="shared" si="16"/>
        <v>0</v>
      </c>
      <c r="Q237">
        <f t="shared" si="17"/>
        <v>1</v>
      </c>
      <c r="R237">
        <v>670629.48</v>
      </c>
      <c r="S237">
        <f t="shared" si="19"/>
        <v>674788.19859999989</v>
      </c>
      <c r="T237">
        <f t="shared" si="18"/>
        <v>4158.7185999999056</v>
      </c>
    </row>
    <row r="238" spans="1:20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  <c r="O238">
        <f t="shared" si="15"/>
        <v>0</v>
      </c>
      <c r="P238">
        <f t="shared" si="16"/>
        <v>0</v>
      </c>
      <c r="Q238">
        <f t="shared" si="17"/>
        <v>1</v>
      </c>
      <c r="R238">
        <v>721079.35</v>
      </c>
      <c r="S238">
        <f t="shared" si="19"/>
        <v>791813.14</v>
      </c>
      <c r="T238">
        <f t="shared" si="18"/>
        <v>70733.790000000037</v>
      </c>
    </row>
    <row r="239" spans="1:20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  <c r="O239">
        <f t="shared" si="15"/>
        <v>0</v>
      </c>
      <c r="P239">
        <f t="shared" si="16"/>
        <v>0</v>
      </c>
      <c r="Q239">
        <f t="shared" si="17"/>
        <v>1</v>
      </c>
      <c r="R239">
        <v>810355.02</v>
      </c>
      <c r="S239">
        <f t="shared" si="19"/>
        <v>825443.43149999983</v>
      </c>
      <c r="T239">
        <f t="shared" si="18"/>
        <v>15088.411499999813</v>
      </c>
    </row>
    <row r="240" spans="1:20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  <c r="O240">
        <f t="shared" si="15"/>
        <v>0</v>
      </c>
      <c r="P240">
        <f t="shared" si="16"/>
        <v>0</v>
      </c>
      <c r="Q240">
        <f t="shared" si="17"/>
        <v>1</v>
      </c>
      <c r="R240">
        <v>761919.25</v>
      </c>
      <c r="S240">
        <f t="shared" si="19"/>
        <v>775833.06849999994</v>
      </c>
      <c r="T240">
        <f t="shared" si="18"/>
        <v>13913.818499999936</v>
      </c>
    </row>
    <row r="241" spans="1:20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  <c r="O241">
        <f t="shared" si="15"/>
        <v>0</v>
      </c>
      <c r="P241">
        <f t="shared" si="16"/>
        <v>0</v>
      </c>
      <c r="Q241">
        <f t="shared" si="17"/>
        <v>1</v>
      </c>
      <c r="R241">
        <v>737070.18</v>
      </c>
      <c r="S241">
        <f t="shared" si="19"/>
        <v>731536.27599999995</v>
      </c>
      <c r="T241">
        <f t="shared" si="18"/>
        <v>-5533.9040000000969</v>
      </c>
    </row>
    <row r="242" spans="1:20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  <c r="O242">
        <f t="shared" si="15"/>
        <v>0</v>
      </c>
      <c r="P242">
        <f t="shared" si="16"/>
        <v>1</v>
      </c>
      <c r="Q242">
        <f t="shared" si="17"/>
        <v>0</v>
      </c>
      <c r="R242">
        <v>776992.93</v>
      </c>
      <c r="S242">
        <f t="shared" si="19"/>
        <v>750643.56879999989</v>
      </c>
      <c r="T242">
        <f t="shared" si="18"/>
        <v>-26349.361200000159</v>
      </c>
    </row>
    <row r="243" spans="1:20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  <c r="O243">
        <f t="shared" si="15"/>
        <v>0</v>
      </c>
      <c r="P243">
        <f t="shared" si="16"/>
        <v>1</v>
      </c>
      <c r="Q243">
        <f t="shared" si="17"/>
        <v>0</v>
      </c>
      <c r="R243">
        <v>676337.41</v>
      </c>
      <c r="S243">
        <f t="shared" si="19"/>
        <v>647275.61899999995</v>
      </c>
      <c r="T243">
        <f t="shared" si="18"/>
        <v>-29061.791000000085</v>
      </c>
    </row>
    <row r="244" spans="1:20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  <c r="O244">
        <f t="shared" si="15"/>
        <v>0</v>
      </c>
      <c r="P244">
        <f t="shared" si="16"/>
        <v>1</v>
      </c>
      <c r="Q244">
        <f t="shared" si="17"/>
        <v>0</v>
      </c>
      <c r="R244">
        <v>828219.67</v>
      </c>
      <c r="S244">
        <f t="shared" si="19"/>
        <v>817910.69959999993</v>
      </c>
      <c r="T244">
        <f t="shared" si="18"/>
        <v>-10308.970400000107</v>
      </c>
    </row>
    <row r="245" spans="1:20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  <c r="O245">
        <f t="shared" si="15"/>
        <v>0</v>
      </c>
      <c r="P245">
        <f t="shared" si="16"/>
        <v>1</v>
      </c>
      <c r="Q245">
        <f t="shared" si="17"/>
        <v>0</v>
      </c>
      <c r="R245">
        <v>763159.92</v>
      </c>
      <c r="S245">
        <f t="shared" si="19"/>
        <v>756510.01659999997</v>
      </c>
      <c r="T245">
        <f t="shared" si="18"/>
        <v>-6649.9034000000684</v>
      </c>
    </row>
    <row r="246" spans="1:20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  <c r="O246">
        <f t="shared" si="15"/>
        <v>0</v>
      </c>
      <c r="P246">
        <f t="shared" si="16"/>
        <v>0</v>
      </c>
      <c r="Q246">
        <f t="shared" si="17"/>
        <v>0</v>
      </c>
      <c r="R246">
        <v>802001.68</v>
      </c>
      <c r="S246">
        <f t="shared" si="19"/>
        <v>782073.21799999999</v>
      </c>
      <c r="T246">
        <f t="shared" si="18"/>
        <v>-19928.462000000058</v>
      </c>
    </row>
    <row r="247" spans="1:20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  <c r="O247">
        <f t="shared" si="15"/>
        <v>0</v>
      </c>
      <c r="P247">
        <f t="shared" si="16"/>
        <v>0</v>
      </c>
      <c r="Q247">
        <f t="shared" si="17"/>
        <v>0</v>
      </c>
      <c r="R247">
        <v>750471.34</v>
      </c>
      <c r="S247">
        <f t="shared" si="19"/>
        <v>737796.42720000003</v>
      </c>
      <c r="T247">
        <f t="shared" si="18"/>
        <v>-12674.912799999933</v>
      </c>
    </row>
    <row r="248" spans="1:20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  <c r="O248">
        <f t="shared" si="15"/>
        <v>0</v>
      </c>
      <c r="P248">
        <f t="shared" si="16"/>
        <v>0</v>
      </c>
      <c r="Q248">
        <f t="shared" si="17"/>
        <v>0</v>
      </c>
      <c r="R248">
        <v>679230.86</v>
      </c>
      <c r="S248">
        <f t="shared" si="19"/>
        <v>708223.51559999993</v>
      </c>
      <c r="T248">
        <f t="shared" si="18"/>
        <v>28992.65559999994</v>
      </c>
    </row>
    <row r="249" spans="1:20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  <c r="O249">
        <f t="shared" si="15"/>
        <v>0</v>
      </c>
      <c r="P249">
        <f t="shared" si="16"/>
        <v>0</v>
      </c>
      <c r="Q249">
        <f t="shared" si="17"/>
        <v>0</v>
      </c>
      <c r="R249">
        <v>679888.74</v>
      </c>
      <c r="S249">
        <f t="shared" si="19"/>
        <v>686845.07819999999</v>
      </c>
      <c r="T249">
        <f t="shared" si="18"/>
        <v>6956.3381999999983</v>
      </c>
    </row>
    <row r="250" spans="1:20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J250">
        <v>4.45</v>
      </c>
      <c r="K250">
        <v>0</v>
      </c>
      <c r="L250">
        <v>3.8</v>
      </c>
      <c r="M250">
        <v>606783.67000000004</v>
      </c>
      <c r="N250">
        <v>74515.87</v>
      </c>
      <c r="O250">
        <f t="shared" si="15"/>
        <v>1</v>
      </c>
      <c r="P250">
        <f t="shared" si="16"/>
        <v>0</v>
      </c>
      <c r="Q250">
        <f t="shared" si="17"/>
        <v>0</v>
      </c>
      <c r="R250">
        <v>606783.67000000004</v>
      </c>
      <c r="S250">
        <f t="shared" si="19"/>
        <v>592783.08830000006</v>
      </c>
      <c r="T250">
        <f t="shared" si="18"/>
        <v>-14000.581699999981</v>
      </c>
    </row>
    <row r="251" spans="1:20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  <c r="O251">
        <f t="shared" si="15"/>
        <v>1</v>
      </c>
      <c r="P251">
        <f t="shared" si="16"/>
        <v>0</v>
      </c>
      <c r="Q251">
        <f t="shared" si="17"/>
        <v>0</v>
      </c>
      <c r="R251">
        <v>642751.42000000004</v>
      </c>
      <c r="S251">
        <f t="shared" si="19"/>
        <v>654587.55249999999</v>
      </c>
      <c r="T251">
        <f t="shared" si="18"/>
        <v>11836.132499999949</v>
      </c>
    </row>
    <row r="252" spans="1:20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  <c r="O252">
        <f t="shared" si="15"/>
        <v>1</v>
      </c>
      <c r="P252">
        <f t="shared" si="16"/>
        <v>0</v>
      </c>
      <c r="Q252">
        <f t="shared" si="17"/>
        <v>0</v>
      </c>
      <c r="R252">
        <v>647953.78</v>
      </c>
      <c r="S252">
        <f t="shared" si="19"/>
        <v>650914.29070000001</v>
      </c>
      <c r="T252">
        <f t="shared" si="18"/>
        <v>2960.5106999999844</v>
      </c>
    </row>
    <row r="253" spans="1:20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  <c r="O253">
        <f t="shared" si="15"/>
        <v>1</v>
      </c>
      <c r="P253">
        <f t="shared" si="16"/>
        <v>0</v>
      </c>
      <c r="Q253">
        <f t="shared" si="17"/>
        <v>0</v>
      </c>
      <c r="R253">
        <v>729440.45</v>
      </c>
      <c r="S253">
        <f t="shared" si="19"/>
        <v>712883.04060000007</v>
      </c>
      <c r="T253">
        <f t="shared" si="18"/>
        <v>-16557.409399999888</v>
      </c>
    </row>
    <row r="254" spans="1:20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  <c r="O254">
        <f t="shared" si="15"/>
        <v>0</v>
      </c>
      <c r="P254">
        <f t="shared" si="16"/>
        <v>1</v>
      </c>
      <c r="Q254">
        <f t="shared" si="17"/>
        <v>0</v>
      </c>
      <c r="R254">
        <v>764949</v>
      </c>
      <c r="S254">
        <f t="shared" si="19"/>
        <v>759454.07199999993</v>
      </c>
      <c r="T254">
        <f t="shared" si="18"/>
        <v>-5494.9280000000726</v>
      </c>
    </row>
    <row r="255" spans="1:20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  <c r="O255">
        <f t="shared" si="15"/>
        <v>0</v>
      </c>
      <c r="P255">
        <f t="shared" si="16"/>
        <v>1</v>
      </c>
      <c r="Q255">
        <f t="shared" si="17"/>
        <v>0</v>
      </c>
      <c r="R255">
        <v>799046.94</v>
      </c>
      <c r="S255">
        <f t="shared" si="19"/>
        <v>713506.02590000001</v>
      </c>
      <c r="T255">
        <f t="shared" si="18"/>
        <v>-85540.914099999936</v>
      </c>
    </row>
    <row r="256" spans="1:20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  <c r="O256">
        <f t="shared" si="15"/>
        <v>0</v>
      </c>
      <c r="P256">
        <f t="shared" si="16"/>
        <v>1</v>
      </c>
      <c r="Q256">
        <f t="shared" si="17"/>
        <v>0</v>
      </c>
      <c r="R256">
        <v>720079.54</v>
      </c>
      <c r="S256">
        <f t="shared" si="19"/>
        <v>681923.28960000002</v>
      </c>
      <c r="T256">
        <f t="shared" si="18"/>
        <v>-38156.250400000019</v>
      </c>
    </row>
    <row r="257" spans="1:20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  <c r="O257">
        <f t="shared" si="15"/>
        <v>0</v>
      </c>
      <c r="P257">
        <f t="shared" si="16"/>
        <v>1</v>
      </c>
      <c r="Q257">
        <f t="shared" si="17"/>
        <v>0</v>
      </c>
      <c r="R257">
        <v>612390.14</v>
      </c>
      <c r="S257">
        <f t="shared" si="19"/>
        <v>641439.62819999992</v>
      </c>
      <c r="T257">
        <f t="shared" si="18"/>
        <v>29049.488199999905</v>
      </c>
    </row>
    <row r="258" spans="1:20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  <c r="O258">
        <f t="shared" si="15"/>
        <v>0</v>
      </c>
      <c r="P258">
        <f t="shared" si="16"/>
        <v>1</v>
      </c>
      <c r="Q258">
        <f t="shared" si="17"/>
        <v>0</v>
      </c>
      <c r="R258">
        <v>840108.12</v>
      </c>
      <c r="S258">
        <f t="shared" si="19"/>
        <v>755062.55819999997</v>
      </c>
      <c r="T258">
        <f t="shared" si="18"/>
        <v>-85045.561800000025</v>
      </c>
    </row>
    <row r="259" spans="1:20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  <c r="O259">
        <f t="shared" ref="O259:O321" si="20">IF(C259="North",1,0)</f>
        <v>0</v>
      </c>
      <c r="P259">
        <f t="shared" ref="P259:P321" si="21">IF(C259="South",1,0)</f>
        <v>1</v>
      </c>
      <c r="Q259">
        <f t="shared" ref="Q259:Q321" si="22">IF(C259="West",1,0)</f>
        <v>0</v>
      </c>
      <c r="R259">
        <v>697888.09</v>
      </c>
      <c r="S259">
        <f t="shared" si="19"/>
        <v>677115.95869999996</v>
      </c>
      <c r="T259">
        <f t="shared" ref="T259:T321" si="23">S259-R259</f>
        <v>-20772.131300000008</v>
      </c>
    </row>
    <row r="260" spans="1:20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  <c r="O260">
        <f t="shared" si="20"/>
        <v>0</v>
      </c>
      <c r="P260">
        <f t="shared" si="21"/>
        <v>1</v>
      </c>
      <c r="Q260">
        <f t="shared" si="22"/>
        <v>0</v>
      </c>
      <c r="R260">
        <v>746115.59</v>
      </c>
      <c r="S260">
        <f t="shared" ref="S260:S321" si="24">131460.31+(1.19*E260)+(33.87*F260)+(2818.21*I260)+(10547.38*O260)+(21940.49*P260)+(17491.37*Q260)</f>
        <v>745013.06959999993</v>
      </c>
      <c r="T260">
        <f t="shared" si="23"/>
        <v>-1102.5204000000376</v>
      </c>
    </row>
    <row r="261" spans="1:20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  <c r="O261">
        <f t="shared" si="20"/>
        <v>0</v>
      </c>
      <c r="P261">
        <f t="shared" si="21"/>
        <v>1</v>
      </c>
      <c r="Q261">
        <f t="shared" si="22"/>
        <v>0</v>
      </c>
      <c r="R261">
        <v>776110.32</v>
      </c>
      <c r="S261">
        <f t="shared" si="24"/>
        <v>724338.4878</v>
      </c>
      <c r="T261">
        <f t="shared" si="23"/>
        <v>-51771.832199999946</v>
      </c>
    </row>
    <row r="262" spans="1:20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  <c r="O262">
        <f t="shared" si="20"/>
        <v>0</v>
      </c>
      <c r="P262">
        <f t="shared" si="21"/>
        <v>0</v>
      </c>
      <c r="Q262">
        <f t="shared" si="22"/>
        <v>1</v>
      </c>
      <c r="R262">
        <v>528852.62</v>
      </c>
      <c r="S262">
        <f t="shared" si="24"/>
        <v>523915.98329999996</v>
      </c>
      <c r="T262">
        <f t="shared" si="23"/>
        <v>-4936.6367000000319</v>
      </c>
    </row>
    <row r="263" spans="1:20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J263">
        <v>4.45</v>
      </c>
      <c r="K263">
        <v>0</v>
      </c>
      <c r="L263">
        <v>4.2</v>
      </c>
      <c r="M263">
        <v>605751.32999999996</v>
      </c>
      <c r="N263">
        <v>60685.53</v>
      </c>
      <c r="O263">
        <f t="shared" si="20"/>
        <v>0</v>
      </c>
      <c r="P263">
        <f t="shared" si="21"/>
        <v>0</v>
      </c>
      <c r="Q263">
        <f t="shared" si="22"/>
        <v>1</v>
      </c>
      <c r="R263">
        <v>605751.32999999996</v>
      </c>
      <c r="S263">
        <f t="shared" si="24"/>
        <v>608494.58100000001</v>
      </c>
      <c r="T263">
        <f t="shared" si="23"/>
        <v>2743.2510000000475</v>
      </c>
    </row>
    <row r="264" spans="1:20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  <c r="O264">
        <f t="shared" si="20"/>
        <v>0</v>
      </c>
      <c r="P264">
        <f t="shared" si="21"/>
        <v>0</v>
      </c>
      <c r="Q264">
        <f t="shared" si="22"/>
        <v>1</v>
      </c>
      <c r="R264">
        <v>677640.65</v>
      </c>
      <c r="S264">
        <f t="shared" si="24"/>
        <v>612092.75150000001</v>
      </c>
      <c r="T264">
        <f t="shared" si="23"/>
        <v>-65547.89850000001</v>
      </c>
    </row>
    <row r="265" spans="1:20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  <c r="O265">
        <f t="shared" si="20"/>
        <v>0</v>
      </c>
      <c r="P265">
        <f t="shared" si="21"/>
        <v>0</v>
      </c>
      <c r="Q265">
        <f t="shared" si="22"/>
        <v>1</v>
      </c>
      <c r="R265">
        <v>636613.23</v>
      </c>
      <c r="S265">
        <f t="shared" si="24"/>
        <v>619363.94739999995</v>
      </c>
      <c r="T265">
        <f t="shared" si="23"/>
        <v>-17249.282600000035</v>
      </c>
    </row>
    <row r="266" spans="1:20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  <c r="O266">
        <f t="shared" si="20"/>
        <v>0</v>
      </c>
      <c r="P266">
        <f t="shared" si="21"/>
        <v>0</v>
      </c>
      <c r="Q266">
        <f t="shared" si="22"/>
        <v>0</v>
      </c>
      <c r="R266">
        <v>708985.19</v>
      </c>
      <c r="S266">
        <f t="shared" si="24"/>
        <v>719697.18090000004</v>
      </c>
      <c r="T266">
        <f t="shared" si="23"/>
        <v>10711.990900000092</v>
      </c>
    </row>
    <row r="267" spans="1:20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  <c r="O267">
        <f t="shared" si="20"/>
        <v>0</v>
      </c>
      <c r="P267">
        <f t="shared" si="21"/>
        <v>0</v>
      </c>
      <c r="Q267">
        <f t="shared" si="22"/>
        <v>0</v>
      </c>
      <c r="R267">
        <v>767792.94</v>
      </c>
      <c r="S267">
        <f t="shared" si="24"/>
        <v>734311.93459999992</v>
      </c>
      <c r="T267">
        <f t="shared" si="23"/>
        <v>-33481.005400000024</v>
      </c>
    </row>
    <row r="268" spans="1:20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  <c r="O268">
        <f t="shared" si="20"/>
        <v>0</v>
      </c>
      <c r="P268">
        <f t="shared" si="21"/>
        <v>0</v>
      </c>
      <c r="Q268">
        <f t="shared" si="22"/>
        <v>0</v>
      </c>
      <c r="R268">
        <v>745580.51</v>
      </c>
      <c r="S268">
        <f t="shared" si="24"/>
        <v>717575.12709999993</v>
      </c>
      <c r="T268">
        <f t="shared" si="23"/>
        <v>-28005.382900000084</v>
      </c>
    </row>
    <row r="269" spans="1:20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  <c r="O269">
        <f t="shared" si="20"/>
        <v>0</v>
      </c>
      <c r="P269">
        <f t="shared" si="21"/>
        <v>0</v>
      </c>
      <c r="Q269">
        <f t="shared" si="22"/>
        <v>0</v>
      </c>
      <c r="R269">
        <v>762328.31</v>
      </c>
      <c r="S269">
        <f t="shared" si="24"/>
        <v>719080.34409999999</v>
      </c>
      <c r="T269">
        <f t="shared" si="23"/>
        <v>-43247.965900000068</v>
      </c>
    </row>
    <row r="270" spans="1:20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  <c r="O270">
        <f t="shared" si="20"/>
        <v>0</v>
      </c>
      <c r="P270">
        <f t="shared" si="21"/>
        <v>0</v>
      </c>
      <c r="Q270">
        <f t="shared" si="22"/>
        <v>0</v>
      </c>
      <c r="R270">
        <v>660633.99</v>
      </c>
      <c r="S270">
        <f t="shared" si="24"/>
        <v>729645.65379999997</v>
      </c>
      <c r="T270">
        <f t="shared" si="23"/>
        <v>69011.66379999998</v>
      </c>
    </row>
    <row r="271" spans="1:20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  <c r="O271">
        <f t="shared" si="20"/>
        <v>0</v>
      </c>
      <c r="P271">
        <f t="shared" si="21"/>
        <v>0</v>
      </c>
      <c r="Q271">
        <f t="shared" si="22"/>
        <v>0</v>
      </c>
      <c r="R271">
        <v>739374.56</v>
      </c>
      <c r="S271">
        <f t="shared" si="24"/>
        <v>682309.47429999989</v>
      </c>
      <c r="T271">
        <f t="shared" si="23"/>
        <v>-57065.085700000171</v>
      </c>
    </row>
    <row r="272" spans="1:20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  <c r="O272">
        <f t="shared" si="20"/>
        <v>0</v>
      </c>
      <c r="P272">
        <f t="shared" si="21"/>
        <v>0</v>
      </c>
      <c r="Q272">
        <f t="shared" si="22"/>
        <v>0</v>
      </c>
      <c r="R272">
        <v>799756.46</v>
      </c>
      <c r="S272">
        <f t="shared" si="24"/>
        <v>797312.95299999998</v>
      </c>
      <c r="T272">
        <f t="shared" si="23"/>
        <v>-2443.5069999999832</v>
      </c>
    </row>
    <row r="273" spans="1:20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  <c r="O273">
        <f t="shared" si="20"/>
        <v>0</v>
      </c>
      <c r="P273">
        <f t="shared" si="21"/>
        <v>0</v>
      </c>
      <c r="Q273">
        <f t="shared" si="22"/>
        <v>0</v>
      </c>
      <c r="R273">
        <v>593343</v>
      </c>
      <c r="S273">
        <f t="shared" si="24"/>
        <v>661506.4987</v>
      </c>
      <c r="T273">
        <f t="shared" si="23"/>
        <v>68163.498699999996</v>
      </c>
    </row>
    <row r="274" spans="1:20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  <c r="O274">
        <f t="shared" si="20"/>
        <v>0</v>
      </c>
      <c r="P274">
        <f t="shared" si="21"/>
        <v>0</v>
      </c>
      <c r="Q274">
        <f t="shared" si="22"/>
        <v>1</v>
      </c>
      <c r="R274">
        <v>645039.97</v>
      </c>
      <c r="S274">
        <f t="shared" si="24"/>
        <v>643010.1682999999</v>
      </c>
      <c r="T274">
        <f t="shared" si="23"/>
        <v>-2029.8017000000691</v>
      </c>
    </row>
    <row r="275" spans="1:20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  <c r="O275">
        <f t="shared" si="20"/>
        <v>0</v>
      </c>
      <c r="P275">
        <f t="shared" si="21"/>
        <v>0</v>
      </c>
      <c r="Q275">
        <f t="shared" si="22"/>
        <v>1</v>
      </c>
      <c r="R275">
        <v>561597.32999999996</v>
      </c>
      <c r="S275">
        <f t="shared" si="24"/>
        <v>530787.05929999996</v>
      </c>
      <c r="T275">
        <f t="shared" si="23"/>
        <v>-30810.270699999994</v>
      </c>
    </row>
    <row r="276" spans="1:20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  <c r="O276">
        <f t="shared" si="20"/>
        <v>0</v>
      </c>
      <c r="P276">
        <f t="shared" si="21"/>
        <v>0</v>
      </c>
      <c r="Q276">
        <f t="shared" si="22"/>
        <v>1</v>
      </c>
      <c r="R276">
        <v>635837.74</v>
      </c>
      <c r="S276">
        <f t="shared" si="24"/>
        <v>654057.19290000002</v>
      </c>
      <c r="T276">
        <f t="shared" si="23"/>
        <v>18219.452900000033</v>
      </c>
    </row>
    <row r="277" spans="1:20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  <c r="O277">
        <f t="shared" si="20"/>
        <v>0</v>
      </c>
      <c r="P277">
        <f t="shared" si="21"/>
        <v>0</v>
      </c>
      <c r="Q277">
        <f t="shared" si="22"/>
        <v>1</v>
      </c>
      <c r="R277">
        <v>686737.87</v>
      </c>
      <c r="S277">
        <f t="shared" si="24"/>
        <v>612814.80619999999</v>
      </c>
      <c r="T277">
        <f t="shared" si="23"/>
        <v>-73923.063800000004</v>
      </c>
    </row>
    <row r="278" spans="1:20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  <c r="O278">
        <f t="shared" si="20"/>
        <v>0</v>
      </c>
      <c r="P278">
        <f t="shared" si="21"/>
        <v>1</v>
      </c>
      <c r="Q278">
        <f t="shared" si="22"/>
        <v>0</v>
      </c>
      <c r="R278">
        <v>673076.34</v>
      </c>
      <c r="S278">
        <f t="shared" si="24"/>
        <v>763298.12490000005</v>
      </c>
      <c r="T278">
        <f t="shared" si="23"/>
        <v>90221.784900000086</v>
      </c>
    </row>
    <row r="279" spans="1:20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  <c r="O279">
        <f t="shared" si="20"/>
        <v>0</v>
      </c>
      <c r="P279">
        <f t="shared" si="21"/>
        <v>1</v>
      </c>
      <c r="Q279">
        <f t="shared" si="22"/>
        <v>0</v>
      </c>
      <c r="R279">
        <v>738548.42</v>
      </c>
      <c r="S279">
        <f t="shared" si="24"/>
        <v>718200.36969999992</v>
      </c>
      <c r="T279">
        <f t="shared" si="23"/>
        <v>-20348.050300000119</v>
      </c>
    </row>
    <row r="280" spans="1:20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  <c r="O280">
        <f t="shared" si="20"/>
        <v>0</v>
      </c>
      <c r="P280">
        <f t="shared" si="21"/>
        <v>1</v>
      </c>
      <c r="Q280">
        <f t="shared" si="22"/>
        <v>0</v>
      </c>
      <c r="R280">
        <v>756619.77</v>
      </c>
      <c r="S280">
        <f t="shared" si="24"/>
        <v>770825.0429</v>
      </c>
      <c r="T280">
        <f t="shared" si="23"/>
        <v>14205.272899999982</v>
      </c>
    </row>
    <row r="281" spans="1:20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  <c r="O281">
        <f t="shared" si="20"/>
        <v>0</v>
      </c>
      <c r="P281">
        <f t="shared" si="21"/>
        <v>1</v>
      </c>
      <c r="Q281">
        <f t="shared" si="22"/>
        <v>0</v>
      </c>
      <c r="R281">
        <v>761122.42</v>
      </c>
      <c r="S281">
        <f t="shared" si="24"/>
        <v>790744.93139999988</v>
      </c>
      <c r="T281">
        <f t="shared" si="23"/>
        <v>29622.511399999843</v>
      </c>
    </row>
    <row r="282" spans="1:20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  <c r="O282">
        <f t="shared" si="20"/>
        <v>0</v>
      </c>
      <c r="P282">
        <f t="shared" si="21"/>
        <v>1</v>
      </c>
      <c r="Q282">
        <f t="shared" si="22"/>
        <v>0</v>
      </c>
      <c r="R282">
        <v>524899.56999999995</v>
      </c>
      <c r="S282">
        <f t="shared" si="24"/>
        <v>578206.43409999995</v>
      </c>
      <c r="T282">
        <f t="shared" si="23"/>
        <v>53306.864100000006</v>
      </c>
    </row>
    <row r="283" spans="1:20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  <c r="O283">
        <f t="shared" si="20"/>
        <v>0</v>
      </c>
      <c r="P283">
        <f t="shared" si="21"/>
        <v>1</v>
      </c>
      <c r="Q283">
        <f t="shared" si="22"/>
        <v>0</v>
      </c>
      <c r="R283">
        <v>555557.77</v>
      </c>
      <c r="S283">
        <f t="shared" si="24"/>
        <v>590003.10840000003</v>
      </c>
      <c r="T283">
        <f t="shared" si="23"/>
        <v>34445.338400000008</v>
      </c>
    </row>
    <row r="284" spans="1:20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  <c r="O284">
        <f t="shared" si="20"/>
        <v>0</v>
      </c>
      <c r="P284">
        <f t="shared" si="21"/>
        <v>1</v>
      </c>
      <c r="Q284">
        <f t="shared" si="22"/>
        <v>0</v>
      </c>
      <c r="R284">
        <v>714083.68</v>
      </c>
      <c r="S284">
        <f t="shared" si="24"/>
        <v>696632.45409999997</v>
      </c>
      <c r="T284">
        <f t="shared" si="23"/>
        <v>-17451.225900000078</v>
      </c>
    </row>
    <row r="285" spans="1:20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  <c r="O285">
        <f t="shared" si="20"/>
        <v>0</v>
      </c>
      <c r="P285">
        <f t="shared" si="21"/>
        <v>1</v>
      </c>
      <c r="Q285">
        <f t="shared" si="22"/>
        <v>0</v>
      </c>
      <c r="R285">
        <v>497439.82</v>
      </c>
      <c r="S285">
        <f t="shared" si="24"/>
        <v>506051.53889999999</v>
      </c>
      <c r="T285">
        <f t="shared" si="23"/>
        <v>8611.718899999978</v>
      </c>
    </row>
    <row r="286" spans="1:20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  <c r="O286">
        <f t="shared" si="20"/>
        <v>0</v>
      </c>
      <c r="P286">
        <f t="shared" si="21"/>
        <v>0</v>
      </c>
      <c r="Q286">
        <f t="shared" si="22"/>
        <v>1</v>
      </c>
      <c r="R286">
        <v>636775.66</v>
      </c>
      <c r="S286">
        <f t="shared" si="24"/>
        <v>652165.98439999984</v>
      </c>
      <c r="T286">
        <f t="shared" si="23"/>
        <v>15390.324399999809</v>
      </c>
    </row>
    <row r="287" spans="1:20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  <c r="O287">
        <f t="shared" si="20"/>
        <v>0</v>
      </c>
      <c r="P287">
        <f t="shared" si="21"/>
        <v>0</v>
      </c>
      <c r="Q287">
        <f t="shared" si="22"/>
        <v>1</v>
      </c>
      <c r="R287">
        <v>633009.53</v>
      </c>
      <c r="S287">
        <f t="shared" si="24"/>
        <v>644394.13060000003</v>
      </c>
      <c r="T287">
        <f t="shared" si="23"/>
        <v>11384.600600000005</v>
      </c>
    </row>
    <row r="288" spans="1:20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  <c r="O288">
        <f t="shared" si="20"/>
        <v>0</v>
      </c>
      <c r="P288">
        <f t="shared" si="21"/>
        <v>0</v>
      </c>
      <c r="Q288">
        <f t="shared" si="22"/>
        <v>1</v>
      </c>
      <c r="R288">
        <v>609949</v>
      </c>
      <c r="S288">
        <f t="shared" si="24"/>
        <v>615086.58429999999</v>
      </c>
      <c r="T288">
        <f t="shared" si="23"/>
        <v>5137.5842999999877</v>
      </c>
    </row>
    <row r="289" spans="1:20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  <c r="O289">
        <f t="shared" si="20"/>
        <v>0</v>
      </c>
      <c r="P289">
        <f t="shared" si="21"/>
        <v>0</v>
      </c>
      <c r="Q289">
        <f t="shared" si="22"/>
        <v>1</v>
      </c>
      <c r="R289">
        <v>548103.69999999995</v>
      </c>
      <c r="S289">
        <f t="shared" si="24"/>
        <v>568541.10509999993</v>
      </c>
      <c r="T289">
        <f t="shared" si="23"/>
        <v>20437.405099999974</v>
      </c>
    </row>
    <row r="290" spans="1:20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  <c r="O290">
        <f t="shared" si="20"/>
        <v>0</v>
      </c>
      <c r="P290">
        <f t="shared" si="21"/>
        <v>0</v>
      </c>
      <c r="Q290">
        <f t="shared" si="22"/>
        <v>0</v>
      </c>
      <c r="R290">
        <v>729424.42</v>
      </c>
      <c r="S290">
        <f t="shared" si="24"/>
        <v>707575.66690000007</v>
      </c>
      <c r="T290">
        <f t="shared" si="23"/>
        <v>-21848.753099999973</v>
      </c>
    </row>
    <row r="291" spans="1:20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  <c r="O291">
        <f t="shared" si="20"/>
        <v>0</v>
      </c>
      <c r="P291">
        <f t="shared" si="21"/>
        <v>0</v>
      </c>
      <c r="Q291">
        <f t="shared" si="22"/>
        <v>0</v>
      </c>
      <c r="R291">
        <v>696261.49</v>
      </c>
      <c r="S291">
        <f t="shared" si="24"/>
        <v>728265.7993999999</v>
      </c>
      <c r="T291">
        <f t="shared" si="23"/>
        <v>32004.309399999911</v>
      </c>
    </row>
    <row r="292" spans="1:20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  <c r="O292">
        <f t="shared" si="20"/>
        <v>0</v>
      </c>
      <c r="P292">
        <f t="shared" si="21"/>
        <v>0</v>
      </c>
      <c r="Q292">
        <f t="shared" si="22"/>
        <v>0</v>
      </c>
      <c r="R292">
        <v>813316.71</v>
      </c>
      <c r="S292">
        <f t="shared" si="24"/>
        <v>714573.76899999997</v>
      </c>
      <c r="T292">
        <f t="shared" si="23"/>
        <v>-98742.940999999992</v>
      </c>
    </row>
    <row r="293" spans="1:20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  <c r="O293">
        <f t="shared" si="20"/>
        <v>0</v>
      </c>
      <c r="P293">
        <f t="shared" si="21"/>
        <v>0</v>
      </c>
      <c r="Q293">
        <f t="shared" si="22"/>
        <v>0</v>
      </c>
      <c r="R293">
        <v>702068.92</v>
      </c>
      <c r="S293">
        <f t="shared" si="24"/>
        <v>709084.17290000001</v>
      </c>
      <c r="T293">
        <f t="shared" si="23"/>
        <v>7015.2528999999631</v>
      </c>
    </row>
    <row r="294" spans="1:20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  <c r="O294">
        <f t="shared" si="20"/>
        <v>0</v>
      </c>
      <c r="P294">
        <f t="shared" si="21"/>
        <v>0</v>
      </c>
      <c r="Q294">
        <f t="shared" si="22"/>
        <v>1</v>
      </c>
      <c r="R294">
        <v>546223.69999999995</v>
      </c>
      <c r="S294">
        <f t="shared" si="24"/>
        <v>585023.68779999996</v>
      </c>
      <c r="T294">
        <f t="shared" si="23"/>
        <v>38799.987800000003</v>
      </c>
    </row>
    <row r="295" spans="1:20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  <c r="O295">
        <f t="shared" si="20"/>
        <v>0</v>
      </c>
      <c r="P295">
        <f t="shared" si="21"/>
        <v>0</v>
      </c>
      <c r="Q295">
        <f t="shared" si="22"/>
        <v>1</v>
      </c>
      <c r="R295">
        <v>533121.26</v>
      </c>
      <c r="S295">
        <f t="shared" si="24"/>
        <v>526514.7942</v>
      </c>
      <c r="T295">
        <f t="shared" si="23"/>
        <v>-6606.4658000000054</v>
      </c>
    </row>
    <row r="296" spans="1:20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  <c r="O296">
        <f t="shared" si="20"/>
        <v>0</v>
      </c>
      <c r="P296">
        <f t="shared" si="21"/>
        <v>0</v>
      </c>
      <c r="Q296">
        <f t="shared" si="22"/>
        <v>1</v>
      </c>
      <c r="R296">
        <v>498970.32</v>
      </c>
      <c r="S296">
        <f t="shared" si="24"/>
        <v>500822.21490000002</v>
      </c>
      <c r="T296">
        <f t="shared" si="23"/>
        <v>1851.8949000000139</v>
      </c>
    </row>
    <row r="297" spans="1:20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  <c r="O297">
        <f t="shared" si="20"/>
        <v>0</v>
      </c>
      <c r="P297">
        <f t="shared" si="21"/>
        <v>0</v>
      </c>
      <c r="Q297">
        <f t="shared" si="22"/>
        <v>1</v>
      </c>
      <c r="R297">
        <v>487738.26</v>
      </c>
      <c r="S297">
        <f t="shared" si="24"/>
        <v>468188.6532</v>
      </c>
      <c r="T297">
        <f t="shared" si="23"/>
        <v>-19549.606800000009</v>
      </c>
    </row>
    <row r="298" spans="1:20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  <c r="O298">
        <f t="shared" si="20"/>
        <v>0</v>
      </c>
      <c r="P298">
        <f t="shared" si="21"/>
        <v>0</v>
      </c>
      <c r="Q298">
        <f t="shared" si="22"/>
        <v>1</v>
      </c>
      <c r="R298">
        <v>668459.37</v>
      </c>
      <c r="S298">
        <f t="shared" si="24"/>
        <v>677188.0273999999</v>
      </c>
      <c r="T298">
        <f t="shared" si="23"/>
        <v>8728.6573999999091</v>
      </c>
    </row>
    <row r="299" spans="1:20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  <c r="O299">
        <f t="shared" si="20"/>
        <v>0</v>
      </c>
      <c r="P299">
        <f t="shared" si="21"/>
        <v>0</v>
      </c>
      <c r="Q299">
        <f t="shared" si="22"/>
        <v>1</v>
      </c>
      <c r="R299">
        <v>763162.45</v>
      </c>
      <c r="S299">
        <f t="shared" si="24"/>
        <v>686016.44790000003</v>
      </c>
      <c r="T299">
        <f t="shared" si="23"/>
        <v>-77146.002099999925</v>
      </c>
    </row>
    <row r="300" spans="1:20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  <c r="O300">
        <f t="shared" si="20"/>
        <v>0</v>
      </c>
      <c r="P300">
        <f t="shared" si="21"/>
        <v>0</v>
      </c>
      <c r="Q300">
        <f t="shared" si="22"/>
        <v>1</v>
      </c>
      <c r="R300">
        <v>599017.32999999996</v>
      </c>
      <c r="S300">
        <f t="shared" si="24"/>
        <v>628224.69000000006</v>
      </c>
      <c r="T300">
        <f t="shared" si="23"/>
        <v>29207.360000000102</v>
      </c>
    </row>
    <row r="301" spans="1:20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  <c r="O301">
        <f t="shared" si="20"/>
        <v>0</v>
      </c>
      <c r="P301">
        <f t="shared" si="21"/>
        <v>0</v>
      </c>
      <c r="Q301">
        <f t="shared" si="22"/>
        <v>1</v>
      </c>
      <c r="R301">
        <v>401582.58</v>
      </c>
      <c r="S301">
        <f t="shared" si="24"/>
        <v>479127.71919999999</v>
      </c>
      <c r="T301">
        <f t="shared" si="23"/>
        <v>77545.139199999976</v>
      </c>
    </row>
    <row r="302" spans="1:20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  <c r="O302">
        <f t="shared" si="20"/>
        <v>1</v>
      </c>
      <c r="P302">
        <f t="shared" si="21"/>
        <v>0</v>
      </c>
      <c r="Q302">
        <f t="shared" si="22"/>
        <v>0</v>
      </c>
      <c r="R302">
        <v>703812.99</v>
      </c>
      <c r="S302">
        <f t="shared" si="24"/>
        <v>718439.77929999994</v>
      </c>
      <c r="T302">
        <f t="shared" si="23"/>
        <v>14626.789299999946</v>
      </c>
    </row>
    <row r="303" spans="1:20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  <c r="O303">
        <f t="shared" si="20"/>
        <v>1</v>
      </c>
      <c r="P303">
        <f t="shared" si="21"/>
        <v>0</v>
      </c>
      <c r="Q303">
        <f t="shared" si="22"/>
        <v>0</v>
      </c>
      <c r="R303">
        <v>724346.73</v>
      </c>
      <c r="S303">
        <f t="shared" si="24"/>
        <v>723496.51919999998</v>
      </c>
      <c r="T303">
        <f t="shared" si="23"/>
        <v>-850.21080000000075</v>
      </c>
    </row>
    <row r="304" spans="1:20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  <c r="O304">
        <f t="shared" si="20"/>
        <v>1</v>
      </c>
      <c r="P304">
        <f t="shared" si="21"/>
        <v>0</v>
      </c>
      <c r="Q304">
        <f t="shared" si="22"/>
        <v>0</v>
      </c>
      <c r="R304">
        <v>730890.01</v>
      </c>
      <c r="S304">
        <f t="shared" si="24"/>
        <v>730958.64549999998</v>
      </c>
      <c r="T304">
        <f t="shared" si="23"/>
        <v>68.635499999974854</v>
      </c>
    </row>
    <row r="305" spans="1:20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  <c r="O305">
        <f t="shared" si="20"/>
        <v>1</v>
      </c>
      <c r="P305">
        <f t="shared" si="21"/>
        <v>0</v>
      </c>
      <c r="Q305">
        <f t="shared" si="22"/>
        <v>0</v>
      </c>
      <c r="R305">
        <v>780580.95</v>
      </c>
      <c r="S305">
        <f t="shared" si="24"/>
        <v>719336.15749999997</v>
      </c>
      <c r="T305">
        <f t="shared" si="23"/>
        <v>-61244.792499999981</v>
      </c>
    </row>
    <row r="306" spans="1:20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  <c r="O306">
        <f t="shared" si="20"/>
        <v>0</v>
      </c>
      <c r="P306">
        <f t="shared" si="21"/>
        <v>1</v>
      </c>
      <c r="Q306">
        <f t="shared" si="22"/>
        <v>0</v>
      </c>
      <c r="R306">
        <v>727957.48</v>
      </c>
      <c r="S306">
        <f t="shared" si="24"/>
        <v>706416.36880000005</v>
      </c>
      <c r="T306">
        <f t="shared" si="23"/>
        <v>-21541.111199999927</v>
      </c>
    </row>
    <row r="307" spans="1:20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  <c r="O307">
        <f t="shared" si="20"/>
        <v>0</v>
      </c>
      <c r="P307">
        <f t="shared" si="21"/>
        <v>1</v>
      </c>
      <c r="Q307">
        <f t="shared" si="22"/>
        <v>0</v>
      </c>
      <c r="R307">
        <v>538376</v>
      </c>
      <c r="S307">
        <f t="shared" si="24"/>
        <v>649798.75459999999</v>
      </c>
      <c r="T307">
        <f t="shared" si="23"/>
        <v>111422.75459999999</v>
      </c>
    </row>
    <row r="308" spans="1:20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  <c r="O308">
        <f t="shared" si="20"/>
        <v>0</v>
      </c>
      <c r="P308">
        <f t="shared" si="21"/>
        <v>1</v>
      </c>
      <c r="Q308">
        <f t="shared" si="22"/>
        <v>0</v>
      </c>
      <c r="R308">
        <v>665342.49</v>
      </c>
      <c r="S308">
        <f t="shared" si="24"/>
        <v>635540.74840000004</v>
      </c>
      <c r="T308">
        <f t="shared" si="23"/>
        <v>-29801.74159999995</v>
      </c>
    </row>
    <row r="309" spans="1:20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  <c r="O309">
        <f t="shared" si="20"/>
        <v>0</v>
      </c>
      <c r="P309">
        <f t="shared" si="21"/>
        <v>1</v>
      </c>
      <c r="Q309">
        <f t="shared" si="22"/>
        <v>0</v>
      </c>
      <c r="R309">
        <v>651164.18000000005</v>
      </c>
      <c r="S309">
        <f t="shared" si="24"/>
        <v>721351.73949999991</v>
      </c>
      <c r="T309">
        <f t="shared" si="23"/>
        <v>70187.559499999858</v>
      </c>
    </row>
    <row r="310" spans="1:20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  <c r="O310">
        <f t="shared" si="20"/>
        <v>0</v>
      </c>
      <c r="P310">
        <f t="shared" si="21"/>
        <v>1</v>
      </c>
      <c r="Q310">
        <f t="shared" si="22"/>
        <v>0</v>
      </c>
      <c r="R310">
        <v>628538.30000000005</v>
      </c>
      <c r="S310">
        <f t="shared" si="24"/>
        <v>652725.56900000002</v>
      </c>
      <c r="T310">
        <f t="shared" si="23"/>
        <v>24187.268999999971</v>
      </c>
    </row>
    <row r="311" spans="1:20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  <c r="O311">
        <f t="shared" si="20"/>
        <v>0</v>
      </c>
      <c r="P311">
        <f t="shared" si="21"/>
        <v>1</v>
      </c>
      <c r="Q311">
        <f t="shared" si="22"/>
        <v>0</v>
      </c>
      <c r="R311">
        <v>536524.84</v>
      </c>
      <c r="S311">
        <f t="shared" si="24"/>
        <v>585220.91919999989</v>
      </c>
      <c r="T311">
        <f t="shared" si="23"/>
        <v>48696.07919999992</v>
      </c>
    </row>
    <row r="312" spans="1:20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  <c r="O312">
        <f t="shared" si="20"/>
        <v>0</v>
      </c>
      <c r="P312">
        <f t="shared" si="21"/>
        <v>1</v>
      </c>
      <c r="Q312">
        <f t="shared" si="22"/>
        <v>0</v>
      </c>
      <c r="R312">
        <v>621677.30000000005</v>
      </c>
      <c r="S312">
        <f t="shared" si="24"/>
        <v>643615.27560000005</v>
      </c>
      <c r="T312">
        <f t="shared" si="23"/>
        <v>21937.975600000005</v>
      </c>
    </row>
    <row r="313" spans="1:20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L313">
        <v>3.92</v>
      </c>
      <c r="M313">
        <v>771129.07</v>
      </c>
      <c r="N313">
        <v>116851.13</v>
      </c>
      <c r="O313">
        <f t="shared" si="20"/>
        <v>0</v>
      </c>
      <c r="P313">
        <f t="shared" si="21"/>
        <v>1</v>
      </c>
      <c r="Q313">
        <f t="shared" si="22"/>
        <v>0</v>
      </c>
      <c r="R313">
        <v>771129.07</v>
      </c>
      <c r="S313">
        <f t="shared" si="24"/>
        <v>759906.85019999999</v>
      </c>
      <c r="T313">
        <f t="shared" si="23"/>
        <v>-11222.219799999963</v>
      </c>
    </row>
    <row r="314" spans="1:20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  <c r="O314">
        <f t="shared" si="20"/>
        <v>1</v>
      </c>
      <c r="P314">
        <f t="shared" si="21"/>
        <v>0</v>
      </c>
      <c r="Q314">
        <f t="shared" si="22"/>
        <v>0</v>
      </c>
      <c r="R314">
        <v>702052.47</v>
      </c>
      <c r="S314">
        <f t="shared" si="24"/>
        <v>685710.67380000011</v>
      </c>
      <c r="T314">
        <f t="shared" si="23"/>
        <v>-16341.796199999866</v>
      </c>
    </row>
    <row r="315" spans="1:20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L315">
        <v>3.92</v>
      </c>
      <c r="M315">
        <v>688368.46</v>
      </c>
      <c r="N315">
        <v>93588.42</v>
      </c>
      <c r="O315">
        <f t="shared" si="20"/>
        <v>1</v>
      </c>
      <c r="P315">
        <f t="shared" si="21"/>
        <v>0</v>
      </c>
      <c r="Q315">
        <f t="shared" si="22"/>
        <v>0</v>
      </c>
      <c r="R315">
        <v>688368.46</v>
      </c>
      <c r="S315">
        <f t="shared" si="24"/>
        <v>734873.41609999991</v>
      </c>
      <c r="T315">
        <f t="shared" si="23"/>
        <v>46504.956099999952</v>
      </c>
    </row>
    <row r="316" spans="1:20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  <c r="O316">
        <f t="shared" si="20"/>
        <v>1</v>
      </c>
      <c r="P316">
        <f t="shared" si="21"/>
        <v>0</v>
      </c>
      <c r="Q316">
        <f t="shared" si="22"/>
        <v>0</v>
      </c>
      <c r="R316">
        <v>712375.77</v>
      </c>
      <c r="S316">
        <f t="shared" si="24"/>
        <v>696359.43239999993</v>
      </c>
      <c r="T316">
        <f t="shared" si="23"/>
        <v>-16016.337600000086</v>
      </c>
    </row>
    <row r="317" spans="1:20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  <c r="O317">
        <f t="shared" si="20"/>
        <v>1</v>
      </c>
      <c r="P317">
        <f t="shared" si="21"/>
        <v>0</v>
      </c>
      <c r="Q317">
        <f t="shared" si="22"/>
        <v>0</v>
      </c>
      <c r="R317">
        <v>844710.67</v>
      </c>
      <c r="S317">
        <f t="shared" si="24"/>
        <v>825557.44019999995</v>
      </c>
      <c r="T317">
        <f t="shared" si="23"/>
        <v>-19153.229800000088</v>
      </c>
    </row>
    <row r="318" spans="1:20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  <c r="O318">
        <f t="shared" si="20"/>
        <v>0</v>
      </c>
      <c r="P318">
        <f t="shared" si="21"/>
        <v>0</v>
      </c>
      <c r="Q318">
        <f t="shared" si="22"/>
        <v>0</v>
      </c>
      <c r="R318">
        <v>620264.19999999995</v>
      </c>
      <c r="S318">
        <f t="shared" si="24"/>
        <v>675435.9898000001</v>
      </c>
      <c r="T318">
        <f t="shared" si="23"/>
        <v>55171.789800000144</v>
      </c>
    </row>
    <row r="319" spans="1:20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  <c r="O319">
        <f t="shared" si="20"/>
        <v>0</v>
      </c>
      <c r="P319">
        <f t="shared" si="21"/>
        <v>0</v>
      </c>
      <c r="Q319">
        <f t="shared" si="22"/>
        <v>0</v>
      </c>
      <c r="R319">
        <v>536845.42000000004</v>
      </c>
      <c r="S319">
        <f t="shared" si="24"/>
        <v>525521.00139999995</v>
      </c>
      <c r="T319">
        <f t="shared" si="23"/>
        <v>-11324.418600000092</v>
      </c>
    </row>
    <row r="320" spans="1:20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  <c r="O320">
        <f t="shared" si="20"/>
        <v>0</v>
      </c>
      <c r="P320">
        <f t="shared" si="21"/>
        <v>0</v>
      </c>
      <c r="Q320">
        <f t="shared" si="22"/>
        <v>0</v>
      </c>
      <c r="R320">
        <v>726776.22</v>
      </c>
      <c r="S320">
        <f t="shared" si="24"/>
        <v>732375.12219999998</v>
      </c>
      <c r="T320">
        <f t="shared" si="23"/>
        <v>5598.9022000000114</v>
      </c>
    </row>
    <row r="321" spans="1:20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  <c r="O321">
        <f t="shared" si="20"/>
        <v>0</v>
      </c>
      <c r="P321">
        <f t="shared" si="21"/>
        <v>0</v>
      </c>
      <c r="Q321">
        <f t="shared" si="22"/>
        <v>0</v>
      </c>
      <c r="R321">
        <v>559660.84</v>
      </c>
      <c r="S321">
        <f t="shared" si="24"/>
        <v>597380.40390000003</v>
      </c>
      <c r="T321">
        <f t="shared" si="23"/>
        <v>37719.563900000066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8A196-D3F0-4758-B316-BDC379F7CD36}">
  <dimension ref="A1:C5"/>
  <sheetViews>
    <sheetView tabSelected="1" workbookViewId="0">
      <selection activeCell="E4" sqref="E4"/>
    </sheetView>
  </sheetViews>
  <sheetFormatPr defaultRowHeight="14.6"/>
  <cols>
    <col min="1" max="1" width="23.07421875" customWidth="1"/>
    <col min="2" max="2" width="23.53515625" customWidth="1"/>
    <col min="3" max="3" width="9.3828125" customWidth="1"/>
  </cols>
  <sheetData>
    <row r="1" spans="1:3" ht="29.15">
      <c r="A1" s="7" t="s">
        <v>129</v>
      </c>
      <c r="B1" s="7" t="s">
        <v>130</v>
      </c>
      <c r="C1" s="7" t="s">
        <v>131</v>
      </c>
    </row>
    <row r="2" spans="1:3" ht="29.15">
      <c r="A2" s="8" t="s">
        <v>132</v>
      </c>
      <c r="B2" s="8" t="s">
        <v>4</v>
      </c>
      <c r="C2" s="8">
        <v>0.16700000000000001</v>
      </c>
    </row>
    <row r="3" spans="1:3">
      <c r="A3" s="8" t="s">
        <v>133</v>
      </c>
      <c r="B3" s="8" t="s">
        <v>5</v>
      </c>
      <c r="C3" s="8">
        <v>0.73599999999999999</v>
      </c>
    </row>
    <row r="4" spans="1:3" ht="43.75">
      <c r="A4" s="8" t="s">
        <v>134</v>
      </c>
      <c r="B4" s="8" t="s">
        <v>8</v>
      </c>
      <c r="C4" s="8">
        <v>1.2999999999999999E-2</v>
      </c>
    </row>
    <row r="5" spans="1:3" ht="72.900000000000006">
      <c r="A5" s="8" t="s">
        <v>135</v>
      </c>
      <c r="B5" s="8" t="s">
        <v>136</v>
      </c>
      <c r="C5" s="8">
        <v>0.81100000000000005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Orignal_data</vt:lpstr>
      <vt:lpstr>cleaned_data</vt:lpstr>
      <vt:lpstr>Dummy_variables</vt:lpstr>
      <vt:lpstr>Simple_Regression_1</vt:lpstr>
      <vt:lpstr>Simple_Regression_2</vt:lpstr>
      <vt:lpstr>Multiple_regression</vt:lpstr>
      <vt:lpstr>Prediction_Residuals</vt:lpstr>
      <vt:lpstr>Model_comparison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Ayushi Bokare</dc:creator>
  <cp:lastModifiedBy>Ayushi Bokare</cp:lastModifiedBy>
  <dcterms:created xsi:type="dcterms:W3CDTF">2026-06-28T10:21:29Z</dcterms:created>
  <dcterms:modified xsi:type="dcterms:W3CDTF">2026-06-28T11:00:51Z</dcterms:modified>
</cp:coreProperties>
</file>